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odelos/Documents/jomaroe/"/>
    </mc:Choice>
  </mc:AlternateContent>
  <xr:revisionPtr revIDLastSave="0" documentId="13_ncr:1_{E93BEE52-2F6E-5147-B439-F4EE17B1F818}" xr6:coauthVersionLast="47" xr6:coauthVersionMax="47" xr10:uidLastSave="{00000000-0000-0000-0000-000000000000}"/>
  <bookViews>
    <workbookView xWindow="2000" yWindow="1160" windowWidth="36640" windowHeight="22220" activeTab="3" xr2:uid="{00000000-000D-0000-FFFF-FFFF00000000}"/>
  </bookViews>
  <sheets>
    <sheet name="med. piezo. puebla" sheetId="1" r:id="rId1"/>
    <sheet name="datos grace puebla" sheetId="3" r:id="rId2"/>
    <sheet name="prueba grace y pozos" sheetId="5" r:id="rId3"/>
    <sheet name="mediana promedios" sheetId="6" r:id="rId4"/>
    <sheet name="aaaaaa" sheetId="15" r:id="rId5"/>
    <sheet name="mediana 1996" sheetId="9" r:id="rId6"/>
    <sheet name="mediana 1997" sheetId="7" r:id="rId7"/>
    <sheet name="mediana 2000" sheetId="8" r:id="rId8"/>
    <sheet name="mediana 2002" sheetId="10" r:id="rId9"/>
    <sheet name="mediana 2008" sheetId="11" r:id="rId10"/>
    <sheet name="mediana 2013" sheetId="12" r:id="rId11"/>
    <sheet name="mediana 2022" sheetId="13" r:id="rId12"/>
    <sheet name="mediana 2023" sheetId="14" r:id="rId13"/>
  </sheets>
  <definedNames>
    <definedName name="_xlnm._FilterDatabase" localSheetId="5" hidden="1">'mediana 1996'!$A$1:$B$118</definedName>
    <definedName name="_xlnm._FilterDatabase" localSheetId="6" hidden="1">'mediana 1997'!$A$1:$B$118</definedName>
    <definedName name="_xlnm._FilterDatabase" localSheetId="7" hidden="1">'mediana 2000'!$A$1:$B$118</definedName>
    <definedName name="_xlnm._FilterDatabase" localSheetId="8" hidden="1">'mediana 2002'!$A$1:$B$118</definedName>
    <definedName name="_xlnm._FilterDatabase" localSheetId="9" hidden="1">'mediana 2008'!$A$1:$B$118</definedName>
    <definedName name="_xlnm._FilterDatabase" localSheetId="10" hidden="1">'mediana 2013'!$A$1:$B$118</definedName>
    <definedName name="_xlnm._FilterDatabase" localSheetId="11" hidden="1">'mediana 2022'!$A$1:$B$118</definedName>
    <definedName name="_xlnm._FilterDatabase" localSheetId="12" hidden="1">'mediana 2023'!$A$1:$B$118</definedName>
    <definedName name="_xlnm._FilterDatabase" localSheetId="3" hidden="1">'mediana promedios'!$A$1:$A$118</definedName>
    <definedName name="_xlnm._FilterDatabase" localSheetId="2" hidden="1">'prueba grace y pozos'!$E$39:$DR$39</definedName>
    <definedName name="_xlchart.v1.0" hidden="1">'mediana promedios'!$V$51</definedName>
    <definedName name="_xlchart.v1.1" hidden="1">'mediana promedios'!$V$52:$V$56</definedName>
    <definedName name="_xlchart.v1.10" hidden="1">'mediana promedios'!$X$51</definedName>
    <definedName name="_xlchart.v1.11" hidden="1">'mediana promedios'!$X$52:$X$56</definedName>
    <definedName name="_xlchart.v1.12" hidden="1">'mediana promedios'!$V$52:$V$56</definedName>
    <definedName name="_xlchart.v1.13" hidden="1">'mediana promedios'!$W$51</definedName>
    <definedName name="_xlchart.v1.14" hidden="1">'mediana promedios'!$W$52:$W$56</definedName>
    <definedName name="_xlchart.v1.15" hidden="1">'mediana promedios'!$X$51</definedName>
    <definedName name="_xlchart.v1.16" hidden="1">'mediana promedios'!$X$52:$X$56</definedName>
    <definedName name="_xlchart.v1.2" hidden="1">'mediana promedios'!$W$51</definedName>
    <definedName name="_xlchart.v1.3" hidden="1">'mediana promedios'!$W$52:$W$56</definedName>
    <definedName name="_xlchart.v1.4" hidden="1">'mediana promedios'!$X$51</definedName>
    <definedName name="_xlchart.v1.5" hidden="1">'mediana promedios'!$X$52:$X$56</definedName>
    <definedName name="_xlchart.v1.6" hidden="1">'mediana promedios'!$V$51</definedName>
    <definedName name="_xlchart.v1.7" hidden="1">'mediana promedios'!$V$52:$V$56</definedName>
    <definedName name="_xlchart.v1.8" hidden="1">'mediana promedios'!$W$51</definedName>
    <definedName name="_xlchart.v1.9" hidden="1">'mediana promedios'!$W$52:$W$56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6" l="1"/>
  <c r="P27" i="6"/>
  <c r="P26" i="6"/>
  <c r="P25" i="6"/>
  <c r="P24" i="6"/>
  <c r="C36" i="9"/>
  <c r="C34" i="7"/>
  <c r="C40" i="8"/>
  <c r="C46" i="10"/>
  <c r="DR39" i="5"/>
  <c r="DQ39" i="5"/>
  <c r="DP39" i="5"/>
  <c r="DO39" i="5"/>
  <c r="DN39" i="5"/>
  <c r="DM39" i="5"/>
  <c r="DL39" i="5"/>
  <c r="DK39" i="5"/>
  <c r="DJ39" i="5"/>
  <c r="DI39" i="5"/>
  <c r="DH39" i="5"/>
  <c r="DG39" i="5"/>
  <c r="DF39" i="5"/>
  <c r="DE39" i="5"/>
  <c r="DD39" i="5"/>
  <c r="DC39" i="5"/>
  <c r="DB39" i="5"/>
  <c r="DA39" i="5"/>
  <c r="CZ39" i="5"/>
  <c r="CY39" i="5"/>
  <c r="CX39" i="5"/>
  <c r="CW39" i="5"/>
  <c r="CV39" i="5"/>
  <c r="CU39" i="5"/>
  <c r="CT39" i="5"/>
  <c r="CS39" i="5"/>
  <c r="CR39" i="5"/>
  <c r="CQ39" i="5"/>
  <c r="CP39" i="5"/>
  <c r="CO39" i="5"/>
  <c r="CN39" i="5"/>
  <c r="CM39" i="5"/>
  <c r="CL39" i="5"/>
  <c r="CK39" i="5"/>
  <c r="CJ39" i="5"/>
  <c r="CI39" i="5"/>
  <c r="CH39" i="5"/>
  <c r="CG39" i="5"/>
  <c r="CF39" i="5"/>
  <c r="CE39" i="5"/>
  <c r="CD39" i="5"/>
  <c r="CC39" i="5"/>
  <c r="CB39" i="5"/>
  <c r="CA39" i="5"/>
  <c r="BZ39" i="5"/>
  <c r="BY39" i="5"/>
  <c r="BX39" i="5"/>
  <c r="BW39" i="5"/>
  <c r="BV39" i="5"/>
  <c r="BU39" i="5"/>
  <c r="BT39" i="5"/>
  <c r="BS39" i="5"/>
  <c r="BR39" i="5"/>
  <c r="BQ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CI34" i="5"/>
  <c r="CJ34" i="5"/>
  <c r="CK34" i="5"/>
  <c r="CL34" i="5"/>
  <c r="CM34" i="5"/>
  <c r="CN34" i="5"/>
  <c r="CO34" i="5"/>
  <c r="CP34" i="5"/>
  <c r="CQ34" i="5"/>
  <c r="CR34" i="5"/>
  <c r="CS34" i="5"/>
  <c r="CT34" i="5"/>
  <c r="CU34" i="5"/>
  <c r="CV34" i="5"/>
  <c r="CW34" i="5"/>
  <c r="CX34" i="5"/>
  <c r="CY34" i="5"/>
  <c r="CZ34" i="5"/>
  <c r="DA34" i="5"/>
  <c r="DB34" i="5"/>
  <c r="DC34" i="5"/>
  <c r="DD34" i="5"/>
  <c r="DE34" i="5"/>
  <c r="DF34" i="5"/>
  <c r="DG34" i="5"/>
  <c r="DH34" i="5"/>
  <c r="DI34" i="5"/>
  <c r="DJ34" i="5"/>
  <c r="DK34" i="5"/>
  <c r="DL34" i="5"/>
  <c r="DM34" i="5"/>
  <c r="DN34" i="5"/>
  <c r="DO34" i="5"/>
  <c r="DP34" i="5"/>
  <c r="DQ34" i="5"/>
  <c r="DR34" i="5"/>
  <c r="G34" i="5"/>
  <c r="H34" i="5"/>
  <c r="I34" i="5"/>
  <c r="F34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</calcChain>
</file>

<file path=xl/sharedStrings.xml><?xml version="1.0" encoding="utf-8"?>
<sst xmlns="http://schemas.openxmlformats.org/spreadsheetml/2006/main" count="2698" uniqueCount="655">
  <si>
    <t>Pozo</t>
  </si>
  <si>
    <t>Estado</t>
  </si>
  <si>
    <t>Acuífero</t>
  </si>
  <si>
    <t>Elev.Terr</t>
  </si>
  <si>
    <t>Latitud</t>
  </si>
  <si>
    <t>Longitud</t>
  </si>
  <si>
    <t>Puebla</t>
  </si>
  <si>
    <t>ATLIXCO-IZÚCAR DE MATAMOROS</t>
  </si>
  <si>
    <t>VALLE DE PUEBLA</t>
  </si>
  <si>
    <t>ACATZINGO I</t>
  </si>
  <si>
    <t>VALLE DE TECAMACHALCO</t>
  </si>
  <si>
    <t>ACATZINGO II</t>
  </si>
  <si>
    <t>Acuaferico Norte 5</t>
  </si>
  <si>
    <t>Acuaferico Norte 7</t>
  </si>
  <si>
    <t>AIM-01</t>
  </si>
  <si>
    <t>AIM-02</t>
  </si>
  <si>
    <t>AIM-03</t>
  </si>
  <si>
    <t>AIM-04</t>
  </si>
  <si>
    <t>AIM-05</t>
  </si>
  <si>
    <t>AIM-06</t>
  </si>
  <si>
    <t>AIM-07</t>
  </si>
  <si>
    <t>AIM-08</t>
  </si>
  <si>
    <t>AIM-09</t>
  </si>
  <si>
    <t>AIM-10</t>
  </si>
  <si>
    <t>AIM-11</t>
  </si>
  <si>
    <t>AIM-12</t>
  </si>
  <si>
    <t>AIM-13</t>
  </si>
  <si>
    <t>Apetlachica PMNE</t>
  </si>
  <si>
    <t>Atlixcallo 4</t>
  </si>
  <si>
    <t>ATOYATEMPAN</t>
  </si>
  <si>
    <t>Balneario Los Laureles</t>
  </si>
  <si>
    <t>Bosques de San Sebastián 1</t>
  </si>
  <si>
    <t>Carca_a 1</t>
  </si>
  <si>
    <t>Castillotla</t>
  </si>
  <si>
    <t>CENTRAL DE ABASTOS</t>
  </si>
  <si>
    <t>CHACON DE CALLES POZO 2, S.P.R. DE R.I.</t>
  </si>
  <si>
    <t>CLAVIJERO</t>
  </si>
  <si>
    <t>CLEMENTE CASTILLO GENIS</t>
  </si>
  <si>
    <t>CNAVD 002</t>
  </si>
  <si>
    <t>COL. CHAHUAC</t>
  </si>
  <si>
    <t>COL. EL PORVENIR</t>
  </si>
  <si>
    <t>COL. LAZARO CARDENAS</t>
  </si>
  <si>
    <t>CUAPIAXTLA DE MORELOS</t>
  </si>
  <si>
    <t>CUAUTINCHAN</t>
  </si>
  <si>
    <t>DE ACAJETE</t>
  </si>
  <si>
    <t>EL ARENAL</t>
  </si>
  <si>
    <t>EL MORAL</t>
  </si>
  <si>
    <t>EL NOPAL</t>
  </si>
  <si>
    <t>EXHACIENDA DOLORES</t>
  </si>
  <si>
    <t>FELIPE ANGELES</t>
  </si>
  <si>
    <t>FELIPE ANGELES II</t>
  </si>
  <si>
    <t>FELIPE ÁNGELES I</t>
  </si>
  <si>
    <t>FRACC. CAPULRRABIA</t>
  </si>
  <si>
    <t>GRAL. FELIPE ANGELES</t>
  </si>
  <si>
    <t>GUADALUPE XONACATEPEC</t>
  </si>
  <si>
    <t>HUEJOTZINGO</t>
  </si>
  <si>
    <t>Humboldt</t>
  </si>
  <si>
    <t>INFONAVIT BUGAMBILIAS</t>
  </si>
  <si>
    <t>Insurgentes</t>
  </si>
  <si>
    <t>Ixtlahuaca</t>
  </si>
  <si>
    <t>JOSE VILLALBA ROSAS</t>
  </si>
  <si>
    <t>JUAN C. BONILLA</t>
  </si>
  <si>
    <t>LO001</t>
  </si>
  <si>
    <t>LIBRES-ORIENTAL</t>
  </si>
  <si>
    <t>LO004</t>
  </si>
  <si>
    <t>LO006</t>
  </si>
  <si>
    <t>LO008</t>
  </si>
  <si>
    <t>LO011</t>
  </si>
  <si>
    <t>LO0117-A</t>
  </si>
  <si>
    <t>LO012</t>
  </si>
  <si>
    <t>LO013</t>
  </si>
  <si>
    <t>LO013A</t>
  </si>
  <si>
    <t>LO015</t>
  </si>
  <si>
    <t>LO016</t>
  </si>
  <si>
    <t>LO017</t>
  </si>
  <si>
    <t>LO018</t>
  </si>
  <si>
    <t>LO019</t>
  </si>
  <si>
    <t>LO020</t>
  </si>
  <si>
    <t>LO021</t>
  </si>
  <si>
    <t>LO022</t>
  </si>
  <si>
    <t>LO023</t>
  </si>
  <si>
    <t>LO023A</t>
  </si>
  <si>
    <t>LO024</t>
  </si>
  <si>
    <t>LO025</t>
  </si>
  <si>
    <t>LO025A</t>
  </si>
  <si>
    <t>LO025B</t>
  </si>
  <si>
    <t>LO028</t>
  </si>
  <si>
    <t>LO029</t>
  </si>
  <si>
    <t>LO030</t>
  </si>
  <si>
    <t>LO032</t>
  </si>
  <si>
    <t>LO032A</t>
  </si>
  <si>
    <t>LO033</t>
  </si>
  <si>
    <t>LO034</t>
  </si>
  <si>
    <t>LO035</t>
  </si>
  <si>
    <t>LO036</t>
  </si>
  <si>
    <t>LO039</t>
  </si>
  <si>
    <t>LO039A</t>
  </si>
  <si>
    <t>LO043</t>
  </si>
  <si>
    <t>LO043A</t>
  </si>
  <si>
    <t>LO043B</t>
  </si>
  <si>
    <t>LO046</t>
  </si>
  <si>
    <t>LO047</t>
  </si>
  <si>
    <t>LO048</t>
  </si>
  <si>
    <t>LO055</t>
  </si>
  <si>
    <t>LO055B</t>
  </si>
  <si>
    <t>LO056</t>
  </si>
  <si>
    <t>LO057</t>
  </si>
  <si>
    <t>LO061</t>
  </si>
  <si>
    <t>LO062</t>
  </si>
  <si>
    <t>LO067</t>
  </si>
  <si>
    <t>LO068</t>
  </si>
  <si>
    <t>LO069</t>
  </si>
  <si>
    <t>LO070</t>
  </si>
  <si>
    <t>LO070B</t>
  </si>
  <si>
    <t>LO071</t>
  </si>
  <si>
    <t>LO074</t>
  </si>
  <si>
    <t>LO075</t>
  </si>
  <si>
    <t>LO079</t>
  </si>
  <si>
    <t>LO081</t>
  </si>
  <si>
    <t>LO083</t>
  </si>
  <si>
    <t>LO084</t>
  </si>
  <si>
    <t>LO085</t>
  </si>
  <si>
    <t>LO086</t>
  </si>
  <si>
    <t>LO087</t>
  </si>
  <si>
    <t>LO088</t>
  </si>
  <si>
    <t>LO089</t>
  </si>
  <si>
    <t>LO090</t>
  </si>
  <si>
    <t>LO091</t>
  </si>
  <si>
    <t>LO092</t>
  </si>
  <si>
    <t>LO093</t>
  </si>
  <si>
    <t>LO094</t>
  </si>
  <si>
    <t>LO095</t>
  </si>
  <si>
    <t>LO096A</t>
  </si>
  <si>
    <t>LO098</t>
  </si>
  <si>
    <t>LO099</t>
  </si>
  <si>
    <t>LO100</t>
  </si>
  <si>
    <t>LO101</t>
  </si>
  <si>
    <t>LO103</t>
  </si>
  <si>
    <t>LO104</t>
  </si>
  <si>
    <t>LO105</t>
  </si>
  <si>
    <t>LO106</t>
  </si>
  <si>
    <t>LO107</t>
  </si>
  <si>
    <t>LO108</t>
  </si>
  <si>
    <t>LO109</t>
  </si>
  <si>
    <t>LO110</t>
  </si>
  <si>
    <t>LO111</t>
  </si>
  <si>
    <t>LO112</t>
  </si>
  <si>
    <t>LO113</t>
  </si>
  <si>
    <t>LO114</t>
  </si>
  <si>
    <t>LO115</t>
  </si>
  <si>
    <t>LO116</t>
  </si>
  <si>
    <t>LO117</t>
  </si>
  <si>
    <t>LO118</t>
  </si>
  <si>
    <t>LO119</t>
  </si>
  <si>
    <t>LO120</t>
  </si>
  <si>
    <t>LO121</t>
  </si>
  <si>
    <t>LO122</t>
  </si>
  <si>
    <t>LO123</t>
  </si>
  <si>
    <t>LO124</t>
  </si>
  <si>
    <t>LO124-A</t>
  </si>
  <si>
    <t>LO125</t>
  </si>
  <si>
    <t>LO126</t>
  </si>
  <si>
    <t>LO127</t>
  </si>
  <si>
    <t>LO128</t>
  </si>
  <si>
    <t>LO131</t>
  </si>
  <si>
    <t>LO132</t>
  </si>
  <si>
    <t>LO134</t>
  </si>
  <si>
    <t>LO134B</t>
  </si>
  <si>
    <t>LO135</t>
  </si>
  <si>
    <t>LO153</t>
  </si>
  <si>
    <t>LO153A</t>
  </si>
  <si>
    <t>LO153B</t>
  </si>
  <si>
    <t>LO153C</t>
  </si>
  <si>
    <t>LO159A</t>
  </si>
  <si>
    <t>LO171</t>
  </si>
  <si>
    <t>LO171C</t>
  </si>
  <si>
    <t>LO172</t>
  </si>
  <si>
    <t>LO173</t>
  </si>
  <si>
    <t>LO174</t>
  </si>
  <si>
    <t>LO175</t>
  </si>
  <si>
    <t>LOS REYES DE JUAREZ</t>
  </si>
  <si>
    <t>LOS SAUCES SAN DIEGO</t>
  </si>
  <si>
    <t>LOS TOCHIMANES</t>
  </si>
  <si>
    <t>Malintzi 2</t>
  </si>
  <si>
    <t>MIGUEL VILLALBA MARIN, JOSE ANGEL SALVATORI ZAGO</t>
  </si>
  <si>
    <t>NEALTICAN</t>
  </si>
  <si>
    <t>Nealtican 1</t>
  </si>
  <si>
    <t>Nealtican 9</t>
  </si>
  <si>
    <t>Noria</t>
  </si>
  <si>
    <t>OCOTLAN DE TEPEXCO S.P.R. DE R.I.</t>
  </si>
  <si>
    <t>PALMAR DE BRAVO 1</t>
  </si>
  <si>
    <t>PALMAR DE BRAVO 10</t>
  </si>
  <si>
    <t>PALMAR DE BRAVO 11</t>
  </si>
  <si>
    <t>PALMAR DE BRAVO 2</t>
  </si>
  <si>
    <t>PALMAR DE BRAVO 3</t>
  </si>
  <si>
    <t>PALMAR DE BRAVO 4</t>
  </si>
  <si>
    <t>PALMAR DE BRAVO 5</t>
  </si>
  <si>
    <t>PALMAR DE BRAVO 6</t>
  </si>
  <si>
    <t>PALMAR DE BRAVO 7</t>
  </si>
  <si>
    <t>PALMAR DE BRAVO 8</t>
  </si>
  <si>
    <t>PALMAR DE BRAVO 9</t>
  </si>
  <si>
    <t>PARQUE INDUSTRIAL</t>
  </si>
  <si>
    <t>Pozo de riego</t>
  </si>
  <si>
    <t>Pozo de riego tianguismanalco</t>
  </si>
  <si>
    <t>Pozo No II de la colonia agrícola</t>
  </si>
  <si>
    <t>Pozo Papastitla</t>
  </si>
  <si>
    <t>Pozo Santa Catarina hueyatzacoalco</t>
  </si>
  <si>
    <t>Pozo xalatitla</t>
  </si>
  <si>
    <t>Prados Agua Azul</t>
  </si>
  <si>
    <t>PZ-07</t>
  </si>
  <si>
    <t>PZ-11</t>
  </si>
  <si>
    <t>QUECHOLAC I</t>
  </si>
  <si>
    <t>QUECHOLAC II</t>
  </si>
  <si>
    <t>QUECHOLAC III</t>
  </si>
  <si>
    <t>QUECHOLAC IV</t>
  </si>
  <si>
    <t>QUECHOLAC IX</t>
  </si>
  <si>
    <t>QUECHOLAC V</t>
  </si>
  <si>
    <t>QUECHOLAC VI</t>
  </si>
  <si>
    <t>QUECHOLAC VII</t>
  </si>
  <si>
    <t>QUECHOLAC VIII</t>
  </si>
  <si>
    <t>RANCHO GUADALUPE</t>
  </si>
  <si>
    <t>Recta Cholula 4</t>
  </si>
  <si>
    <t>RECTA CHOLULA PUEBLA</t>
  </si>
  <si>
    <t>REPDA5</t>
  </si>
  <si>
    <t>SAN AGUSTIN CALVARIO</t>
  </si>
  <si>
    <t>SAN ANTONIO CACALOTEPEC</t>
  </si>
  <si>
    <t>SAN ANTONIO MIHUACAN</t>
  </si>
  <si>
    <t>San Aparicio 2</t>
  </si>
  <si>
    <t>San Baltazar 4</t>
  </si>
  <si>
    <t>SAN BALTAZAR TEMAXCA</t>
  </si>
  <si>
    <t>SAN FCO. MIXTLA</t>
  </si>
  <si>
    <t>SAN FRANCISCO ACATEPEC</t>
  </si>
  <si>
    <t>SAN FRANCISCO COAPAN</t>
  </si>
  <si>
    <t>SAN FRANCISCO OCOTLAN</t>
  </si>
  <si>
    <t>SAN FRANSCISCO COAPAN</t>
  </si>
  <si>
    <t>SAN GREGORIO ZACAPECHPAN</t>
  </si>
  <si>
    <t>SAN JERONIMO TIANGUISMANALCO</t>
  </si>
  <si>
    <t>SAN JOSE</t>
  </si>
  <si>
    <t>SAN JOSE DE LA CAÑADA</t>
  </si>
  <si>
    <t>SAN JUAN PANCOAC</t>
  </si>
  <si>
    <t>SAN JUAN TETLA</t>
  </si>
  <si>
    <t>SAN JUAN TUXCO</t>
  </si>
  <si>
    <t>SAN LORENZO CHIAUTZINGO</t>
  </si>
  <si>
    <t>SAN LUIS TEHUILOYOCAN</t>
  </si>
  <si>
    <t>SAN MATEO CAPULTITLAN</t>
  </si>
  <si>
    <t>SAN MATIAS TALANCALECA</t>
  </si>
  <si>
    <t>San Miguel papaxtla</t>
  </si>
  <si>
    <t>SAN MIGUEL TIANGUISTENGO</t>
  </si>
  <si>
    <t>San Nicolas</t>
  </si>
  <si>
    <t>SAN PEDRO TLALTENANGO</t>
  </si>
  <si>
    <t>San Rafael 1</t>
  </si>
  <si>
    <t>SAN SALVADOR HUIXCOLOTLA</t>
  </si>
  <si>
    <t>SANTA ANA</t>
  </si>
  <si>
    <t>SANTA CLARA</t>
  </si>
  <si>
    <t>SANTA CLARA HUITZILTEPEC</t>
  </si>
  <si>
    <t>SANTA CRUZ AJAJALPA</t>
  </si>
  <si>
    <t>SANTIAGO MEXTLA</t>
  </si>
  <si>
    <t>Seda 1</t>
  </si>
  <si>
    <t>SIN NOMBRE</t>
  </si>
  <si>
    <t>Sn Felix Sta. Ma. texmelucan</t>
  </si>
  <si>
    <t>STA. ANA XALMIMILULCO</t>
  </si>
  <si>
    <t>STA. BARBARA ALMOLOYA</t>
  </si>
  <si>
    <t>STA. MA MOYOTZINGO</t>
  </si>
  <si>
    <t>STA. MA. MOYOTZINGO</t>
  </si>
  <si>
    <t>STA. MARIA ACUEXCOMAC</t>
  </si>
  <si>
    <t>STA. MARIA XONACANTEPEC</t>
  </si>
  <si>
    <t>STA. MARIA ZACATEPEC</t>
  </si>
  <si>
    <t>STO TOMAS HUEYOTLIPA</t>
  </si>
  <si>
    <t>TECALI DE HERRERA</t>
  </si>
  <si>
    <t>TECALLI DE HERRERA</t>
  </si>
  <si>
    <t>TECALLI I</t>
  </si>
  <si>
    <t>TECALLI II</t>
  </si>
  <si>
    <t>TECAMACHALCO</t>
  </si>
  <si>
    <t>TECAMACHALCO I</t>
  </si>
  <si>
    <t>TECAMACHALCO II</t>
  </si>
  <si>
    <t>TECAMACHALCO III</t>
  </si>
  <si>
    <t>TECAMACHALCO IV</t>
  </si>
  <si>
    <t>TECAMACHALCO V</t>
  </si>
  <si>
    <t>TEPEACA I</t>
  </si>
  <si>
    <t>TEPEACA II</t>
  </si>
  <si>
    <t>TEPEACA III</t>
  </si>
  <si>
    <t>TEPEACA IV</t>
  </si>
  <si>
    <t>TEPEYEHUALCO</t>
  </si>
  <si>
    <t>TLACOTEPEC DE JOSE MANZO</t>
  </si>
  <si>
    <t>TLACOTEPEC I</t>
  </si>
  <si>
    <t>TLACOTEPEC II</t>
  </si>
  <si>
    <t>TLACOTEPEC III</t>
  </si>
  <si>
    <t>TLALTENANGO</t>
  </si>
  <si>
    <t>TLAPETLAHUYA (San Marcos pozo nuevo)</t>
  </si>
  <si>
    <t>TOCHTEPEC I</t>
  </si>
  <si>
    <t>TOCHTEPEC II</t>
  </si>
  <si>
    <t>TOCHTEPEC III</t>
  </si>
  <si>
    <t>VIVEROS DE SANTA CRUZ</t>
  </si>
  <si>
    <t>VP0007</t>
  </si>
  <si>
    <t>VP0008</t>
  </si>
  <si>
    <t>VP0012</t>
  </si>
  <si>
    <t>VP0013</t>
  </si>
  <si>
    <t>VP0017</t>
  </si>
  <si>
    <t>VP0025</t>
  </si>
  <si>
    <t>VP0029</t>
  </si>
  <si>
    <t>VP0031</t>
  </si>
  <si>
    <t>VP0032 A</t>
  </si>
  <si>
    <t>VP0035</t>
  </si>
  <si>
    <t>VP0037</t>
  </si>
  <si>
    <t>VP0038</t>
  </si>
  <si>
    <t>VP0043</t>
  </si>
  <si>
    <t>VP0051</t>
  </si>
  <si>
    <t>VP0070</t>
  </si>
  <si>
    <t>VP0103</t>
  </si>
  <si>
    <t>VP0109</t>
  </si>
  <si>
    <t>VP0121</t>
  </si>
  <si>
    <t>VP0122</t>
  </si>
  <si>
    <t>VP0124</t>
  </si>
  <si>
    <t>VP0125</t>
  </si>
  <si>
    <t>VP022 A</t>
  </si>
  <si>
    <t>VP0224</t>
  </si>
  <si>
    <t>VP0225</t>
  </si>
  <si>
    <t>VP0255</t>
  </si>
  <si>
    <t>VP0261</t>
  </si>
  <si>
    <t>VP0262</t>
  </si>
  <si>
    <t>VP0265</t>
  </si>
  <si>
    <t>VP0276</t>
  </si>
  <si>
    <t>VP0283</t>
  </si>
  <si>
    <t>VP0301</t>
  </si>
  <si>
    <t>VP0303</t>
  </si>
  <si>
    <t>VP0308</t>
  </si>
  <si>
    <t>VP0328</t>
  </si>
  <si>
    <t>VP0341</t>
  </si>
  <si>
    <t>VP0346</t>
  </si>
  <si>
    <t>VP0357</t>
  </si>
  <si>
    <t>VP0360</t>
  </si>
  <si>
    <t>VP0400</t>
  </si>
  <si>
    <t>VP0401</t>
  </si>
  <si>
    <t>VP0405</t>
  </si>
  <si>
    <t>VP0416</t>
  </si>
  <si>
    <t>VP0425</t>
  </si>
  <si>
    <t>VP0438</t>
  </si>
  <si>
    <t>VP0457</t>
  </si>
  <si>
    <t>VP0461</t>
  </si>
  <si>
    <t>VP0469</t>
  </si>
  <si>
    <t>VP0531</t>
  </si>
  <si>
    <t>VP0536</t>
  </si>
  <si>
    <t>VP0559</t>
  </si>
  <si>
    <t>VP0604</t>
  </si>
  <si>
    <t>VP0683</t>
  </si>
  <si>
    <t>VP0684</t>
  </si>
  <si>
    <t>VP0690R</t>
  </si>
  <si>
    <t>VP0701</t>
  </si>
  <si>
    <t>VP0708</t>
  </si>
  <si>
    <t>VP0784</t>
  </si>
  <si>
    <t>VP0789</t>
  </si>
  <si>
    <t>VP0897</t>
  </si>
  <si>
    <t>VP0910</t>
  </si>
  <si>
    <t>VP0912</t>
  </si>
  <si>
    <t>VP0915</t>
  </si>
  <si>
    <t>VP0936</t>
  </si>
  <si>
    <t>VP0943</t>
  </si>
  <si>
    <t>VP1021</t>
  </si>
  <si>
    <t>VP1022</t>
  </si>
  <si>
    <t>VP1051</t>
  </si>
  <si>
    <t>VP1093</t>
  </si>
  <si>
    <t>VP1146</t>
  </si>
  <si>
    <t>VPAE</t>
  </si>
  <si>
    <t>VPATT</t>
  </si>
  <si>
    <t>VPGC</t>
  </si>
  <si>
    <t>VPSN_1</t>
  </si>
  <si>
    <t>VPSN_2</t>
  </si>
  <si>
    <t>VPSN_3</t>
  </si>
  <si>
    <t>VPSN_4</t>
  </si>
  <si>
    <t>XOCHITLÁN</t>
  </si>
  <si>
    <t>XOCHITÁN T. SANTOS</t>
  </si>
  <si>
    <t>Xonacatepec 3</t>
  </si>
  <si>
    <t>YEHUALTEPEC I</t>
  </si>
  <si>
    <t>YEHUALTEPEC II</t>
  </si>
  <si>
    <t>YEHUALTEPEC III</t>
  </si>
  <si>
    <t>Water Equivalent Thickness – Land (GRACE, GRACE-FO JPL)</t>
  </si>
  <si>
    <t>DateTime</t>
  </si>
  <si>
    <t>2002-04-17 12:00:00</t>
  </si>
  <si>
    <t>2002-05-10 12:00:00</t>
  </si>
  <si>
    <t>2002-08-16 12:00:00</t>
  </si>
  <si>
    <t>2002-09-16 00:00:00</t>
  </si>
  <si>
    <t>2002-10-16 12:00:00</t>
  </si>
  <si>
    <t>2002-11-16 00:00:00</t>
  </si>
  <si>
    <t>2002-12-16 12:00:00</t>
  </si>
  <si>
    <t>2003-01-16 12:00:00</t>
  </si>
  <si>
    <t>2003-02-15 00:00:00</t>
  </si>
  <si>
    <t>2003-03-16 12:00:00</t>
  </si>
  <si>
    <t>2003-04-16 00:00:00</t>
  </si>
  <si>
    <t>2003-05-11 12:00:00</t>
  </si>
  <si>
    <t>2003-07-16 12:00:00</t>
  </si>
  <si>
    <t>2003-08-16 12:00:00</t>
  </si>
  <si>
    <t>2003-09-16 00:00:00</t>
  </si>
  <si>
    <t>2003-10-16 00:00:00</t>
  </si>
  <si>
    <t>2003-11-16 00:00:00</t>
  </si>
  <si>
    <t>2003-12-16 12:00:00</t>
  </si>
  <si>
    <t>2004-01-07 12:00:00</t>
  </si>
  <si>
    <t>2004-02-17 00:00:00</t>
  </si>
  <si>
    <t>2004-03-16 12:00:00</t>
  </si>
  <si>
    <t>2004-04-16 00:00:00</t>
  </si>
  <si>
    <t>2004-05-16 12:00:00</t>
  </si>
  <si>
    <t>2004-06-16 00:00:00</t>
  </si>
  <si>
    <t>2004-07-16 12:00:00</t>
  </si>
  <si>
    <t>2004-08-16 12:00:00</t>
  </si>
  <si>
    <t>2004-09-16 00:00:00</t>
  </si>
  <si>
    <t>2004-10-16 12:00:00</t>
  </si>
  <si>
    <t>2004-11-16 00:00:00</t>
  </si>
  <si>
    <t>2004-12-16 12:00:00</t>
  </si>
  <si>
    <t>2005-01-16 12:00:00</t>
  </si>
  <si>
    <t>2005-02-15 00:00:00</t>
  </si>
  <si>
    <t>2005-03-16 12:00:00</t>
  </si>
  <si>
    <t>2005-04-16 00:00:00</t>
  </si>
  <si>
    <t>2005-05-16 12:00:00</t>
  </si>
  <si>
    <t>2005-06-16 00:00:00</t>
  </si>
  <si>
    <t>2005-07-16 12:00:00</t>
  </si>
  <si>
    <t>2005-08-16 12:00:00</t>
  </si>
  <si>
    <t>2005-09-16 00:00:00</t>
  </si>
  <si>
    <t>2005-10-16 12:00:00</t>
  </si>
  <si>
    <t>2005-11-16 00:00:00</t>
  </si>
  <si>
    <t>2005-12-16 12:00:00</t>
  </si>
  <si>
    <t>2006-01-16 12:00:00</t>
  </si>
  <si>
    <t>2006-02-15 00:00:00</t>
  </si>
  <si>
    <t>2006-03-16 12:00:00</t>
  </si>
  <si>
    <t>2006-04-16 00:00:00</t>
  </si>
  <si>
    <t>2006-05-16 12:00:00</t>
  </si>
  <si>
    <t>2006-06-16 00:00:00</t>
  </si>
  <si>
    <t>2006-07-16 12:00:00</t>
  </si>
  <si>
    <t>2006-08-16 12:00:00</t>
  </si>
  <si>
    <t>2006-09-16 00:00:00</t>
  </si>
  <si>
    <t>2006-10-16 12:00:00</t>
  </si>
  <si>
    <t>2006-11-16 00:00:00</t>
  </si>
  <si>
    <t>2006-12-16 12:00:00</t>
  </si>
  <si>
    <t>2007-01-16 12:00:00</t>
  </si>
  <si>
    <t>2007-02-15 00:00:00</t>
  </si>
  <si>
    <t>2007-03-16 12:00:00</t>
  </si>
  <si>
    <t>2007-04-16 00:00:00</t>
  </si>
  <si>
    <t>2007-05-16 12:00:00</t>
  </si>
  <si>
    <t>2007-06-16 00:00:00</t>
  </si>
  <si>
    <t>2007-07-16 12:00:00</t>
  </si>
  <si>
    <t>2007-08-16 12:00:00</t>
  </si>
  <si>
    <t>2007-09-16 00:00:00</t>
  </si>
  <si>
    <t>2007-10-16 12:00:00</t>
  </si>
  <si>
    <t>2007-11-16 00:00:00</t>
  </si>
  <si>
    <t>2007-12-16 12:00:00</t>
  </si>
  <si>
    <t>2008-01-16 12:00:00</t>
  </si>
  <si>
    <t>2008-02-15 12:00:00</t>
  </si>
  <si>
    <t>2008-03-16 12:00:00</t>
  </si>
  <si>
    <t>2008-04-16 00:00:00</t>
  </si>
  <si>
    <t>2008-05-16 12:00:00</t>
  </si>
  <si>
    <t>2008-06-16 00:00:00</t>
  </si>
  <si>
    <t>2008-07-16 12:00:00</t>
  </si>
  <si>
    <t>2008-08-16 12:00:00</t>
  </si>
  <si>
    <t>2008-09-16 00:00:00</t>
  </si>
  <si>
    <t>2008-10-16 12:00:00</t>
  </si>
  <si>
    <t>2008-11-16 00:00:00</t>
  </si>
  <si>
    <t>2008-12-16 12:00:00</t>
  </si>
  <si>
    <t>2009-01-16 12:00:00</t>
  </si>
  <si>
    <t>2009-02-15 00:00:00</t>
  </si>
  <si>
    <t>2009-03-16 12:00:00</t>
  </si>
  <si>
    <t>2009-04-16 00:00:00</t>
  </si>
  <si>
    <t>2009-05-16 12:00:00</t>
  </si>
  <si>
    <t>2009-06-16 00:00:00</t>
  </si>
  <si>
    <t>2009-07-16 12:00:00</t>
  </si>
  <si>
    <t>2009-08-16 12:00:00</t>
  </si>
  <si>
    <t>2009-09-16 00:00:00</t>
  </si>
  <si>
    <t>2009-10-16 12:00:00</t>
  </si>
  <si>
    <t>2009-11-16 00:00:00</t>
  </si>
  <si>
    <t>2009-12-16 12:00:00</t>
  </si>
  <si>
    <t>2010-01-16 12:00:00</t>
  </si>
  <si>
    <t>2010-02-15 00:00:00</t>
  </si>
  <si>
    <t>2010-03-16 12:00:00</t>
  </si>
  <si>
    <t>2010-04-16 00:00:00</t>
  </si>
  <si>
    <t>2010-05-16 12:00:00</t>
  </si>
  <si>
    <t>2010-06-16 00:00:00</t>
  </si>
  <si>
    <t>2010-07-16 12:00:00</t>
  </si>
  <si>
    <t>2010-08-16 12:00:00</t>
  </si>
  <si>
    <t>2010-09-16 00:00:00</t>
  </si>
  <si>
    <t>2010-10-16 12:00:00</t>
  </si>
  <si>
    <t>2010-11-16 00:00:00</t>
  </si>
  <si>
    <t>2010-12-14 12:00:00</t>
  </si>
  <si>
    <t>2011-02-18 12:00:00</t>
  </si>
  <si>
    <t>2011-03-16 12:00:00</t>
  </si>
  <si>
    <t>2011-04-16 00:00:00</t>
  </si>
  <si>
    <t>2011-05-16 12:00:00</t>
  </si>
  <si>
    <t>2011-07-18 12:00:00</t>
  </si>
  <si>
    <t>2011-08-16 12:00:00</t>
  </si>
  <si>
    <t>2011-09-16 00:00:00</t>
  </si>
  <si>
    <t>2011-10-16 12:00:00</t>
  </si>
  <si>
    <t>2011-11-01 12:00:00</t>
  </si>
  <si>
    <t>2012-01-01 00:00:00</t>
  </si>
  <si>
    <t>2012-01-16 12:00:00</t>
  </si>
  <si>
    <t>2012-02-15 12:00:00</t>
  </si>
  <si>
    <t>2012-03-16 12:00:00</t>
  </si>
  <si>
    <t>2012-04-04 12:00:00</t>
  </si>
  <si>
    <t>2012-06-16 00:00:00</t>
  </si>
  <si>
    <t>2012-07-16 12:00:00</t>
  </si>
  <si>
    <t>2012-08-16 12:00:00</t>
  </si>
  <si>
    <t>2012-09-13 00:00:00</t>
  </si>
  <si>
    <t>2012-11-18 12:00:00</t>
  </si>
  <si>
    <t>2012-12-16 12:00:00</t>
  </si>
  <si>
    <t>2013-01-16 12:00:00</t>
  </si>
  <si>
    <t>2013-02-14 00:00:00</t>
  </si>
  <si>
    <t>2013-04-21 00:00:00</t>
  </si>
  <si>
    <t>2013-05-16 12:00:00</t>
  </si>
  <si>
    <t>2013-06-16 00:00:00</t>
  </si>
  <si>
    <t>2013-07-16 12:00:00</t>
  </si>
  <si>
    <t>2013-10-16 12:00:00</t>
  </si>
  <si>
    <t>2013-11-16 00:00:00</t>
  </si>
  <si>
    <t>2013-12-16 12:00:00</t>
  </si>
  <si>
    <t>2014-01-09 12:00:00</t>
  </si>
  <si>
    <t>2014-03-16 12:00:00</t>
  </si>
  <si>
    <t>2014-04-16 00:00:00</t>
  </si>
  <si>
    <t>2014-05-16 12:00:00</t>
  </si>
  <si>
    <t>2014-06-13 00:00:00</t>
  </si>
  <si>
    <t>2014-08-16 12:00:00</t>
  </si>
  <si>
    <t>2014-09-16 00:00:00</t>
  </si>
  <si>
    <t>2014-10-16 12:00:00</t>
  </si>
  <si>
    <t>2014-11-17 00:00:00</t>
  </si>
  <si>
    <t>2015-01-22 12:00:00</t>
  </si>
  <si>
    <t>2015-02-15 00:00:00</t>
  </si>
  <si>
    <t>2015-03-16 12:00:00</t>
  </si>
  <si>
    <t>2015-04-16 00:00:00</t>
  </si>
  <si>
    <t>2015-04-27 00:00:00</t>
  </si>
  <si>
    <t>2015-07-15 12:00:00</t>
  </si>
  <si>
    <t>2015-08-16 12:00:00</t>
  </si>
  <si>
    <t>2015-09-14 12:00:00</t>
  </si>
  <si>
    <t>2015-12-23 12:00:00</t>
  </si>
  <si>
    <t>2016-01-16 12:00:00</t>
  </si>
  <si>
    <t>2016-02-14 00:00:00</t>
  </si>
  <si>
    <t>2016-03-16 12:00:00</t>
  </si>
  <si>
    <t>2016-05-20 00:00:00</t>
  </si>
  <si>
    <t>2016-06-16 00:00:00</t>
  </si>
  <si>
    <t>2016-07-15 12:00:00</t>
  </si>
  <si>
    <t>2016-08-21 12:00:00</t>
  </si>
  <si>
    <t>2016-11-27 12:00:00</t>
  </si>
  <si>
    <t>2016-12-24 12:00:00</t>
  </si>
  <si>
    <t>2017-01-21 00:00:00</t>
  </si>
  <si>
    <t>2017-03-31 12:00:00</t>
  </si>
  <si>
    <t>2017-04-24 12:00:00</t>
  </si>
  <si>
    <t>2017-05-12 12:00:00</t>
  </si>
  <si>
    <t>2017-06-11 00:00:00</t>
  </si>
  <si>
    <t>2018-06-16 00:00:00</t>
  </si>
  <si>
    <t>2018-07-10 00:00:00</t>
  </si>
  <si>
    <t>2018-10-31 12:00:00</t>
  </si>
  <si>
    <t>2018-11-16 00:00:00</t>
  </si>
  <si>
    <t>2018-12-16 12:00:00</t>
  </si>
  <si>
    <t>2019-01-16 12:00:00</t>
  </si>
  <si>
    <t>2019-02-14 00:00:00</t>
  </si>
  <si>
    <t>2019-03-16 12:00:00</t>
  </si>
  <si>
    <t>2019-04-16 00:00:00</t>
  </si>
  <si>
    <t>2019-05-16 12:00:00</t>
  </si>
  <si>
    <t>2019-06-16 00:00:00</t>
  </si>
  <si>
    <t>2019-07-16 12:00:00</t>
  </si>
  <si>
    <t>2019-08-16 12:00:00</t>
  </si>
  <si>
    <t>2019-09-16 00:00:00</t>
  </si>
  <si>
    <t>2019-10-16 12:00:00</t>
  </si>
  <si>
    <t>2019-11-16 00:00:00</t>
  </si>
  <si>
    <t>2019-12-16 12:00:00</t>
  </si>
  <si>
    <t>2020-01-16 12:00:00</t>
  </si>
  <si>
    <t>2020-02-15 12:00:00</t>
  </si>
  <si>
    <t>2020-03-16 12:00:00</t>
  </si>
  <si>
    <t>2020-04-16 00:00:00</t>
  </si>
  <si>
    <t>2020-05-16 12:00:00</t>
  </si>
  <si>
    <t>2020-06-16 00:00:00</t>
  </si>
  <si>
    <t>2020-07-16 12:00:00</t>
  </si>
  <si>
    <t>2020-08-16 12:00:00</t>
  </si>
  <si>
    <t>2020-09-16 00:00:00</t>
  </si>
  <si>
    <t>2020-10-16 12:00:00</t>
  </si>
  <si>
    <t>2020-11-16 00:00:00</t>
  </si>
  <si>
    <t>2020-12-16 12:00:00</t>
  </si>
  <si>
    <t>2021-01-16 12:00:00</t>
  </si>
  <si>
    <t>2021-02-15 00:00:00</t>
  </si>
  <si>
    <t>2021-03-16 12:00:00</t>
  </si>
  <si>
    <t>2021-04-16 00:00:00</t>
  </si>
  <si>
    <t>2021-05-16 12:00:00</t>
  </si>
  <si>
    <t>2021-06-16 00:00:00</t>
  </si>
  <si>
    <t>2021-07-16 12:00:00</t>
  </si>
  <si>
    <t>2021-08-16 12:00:00</t>
  </si>
  <si>
    <t>2021-09-16 00:00:00</t>
  </si>
  <si>
    <t>2021-10-16 12:00:00</t>
  </si>
  <si>
    <t>2021-11-16 00:00:00</t>
  </si>
  <si>
    <t>2021-12-16 12:00:00</t>
  </si>
  <si>
    <t>2022-01-16 12:00:00</t>
  </si>
  <si>
    <t>2022-02-15 00:00:00</t>
  </si>
  <si>
    <t>2022-03-16 12:00:00</t>
  </si>
  <si>
    <t>2022-04-16 00:00:00</t>
  </si>
  <si>
    <t>2022-05-16 12:00:00</t>
  </si>
  <si>
    <t>2022-06-16 00:00:00</t>
  </si>
  <si>
    <t>2022-07-16 12:00:00</t>
  </si>
  <si>
    <t>2022-08-16 12:00:00</t>
  </si>
  <si>
    <t>2022-09-16 00:00:00</t>
  </si>
  <si>
    <t>2022-10-16 12:00:00</t>
  </si>
  <si>
    <t>2022-11-16 00:00:00</t>
  </si>
  <si>
    <t>2022-12-16 12:00:00</t>
  </si>
  <si>
    <t>2023-01-16 12:00:00</t>
  </si>
  <si>
    <t>2023-02-15 00:00:00</t>
  </si>
  <si>
    <t>2023-03-16 12:00:00</t>
  </si>
  <si>
    <t>2023-04-16 00:00:00</t>
  </si>
  <si>
    <t>2023-05-16 12:00:00</t>
  </si>
  <si>
    <t>2023-06-16 00:00:00</t>
  </si>
  <si>
    <t>2023-07-16 12:00:00</t>
  </si>
  <si>
    <t>2023-08-16 12:00:00</t>
  </si>
  <si>
    <t>2023-09-16 00:00:00</t>
  </si>
  <si>
    <t>2023-10-16 12:00:00</t>
  </si>
  <si>
    <t>2023-11-16 00:00:00</t>
  </si>
  <si>
    <t>2023-12-16 12:00:00</t>
  </si>
  <si>
    <t>2024-01-16 12:00:00</t>
  </si>
  <si>
    <t>2024-02-15 12:00:00</t>
  </si>
  <si>
    <t>2024-03-16 12:00:00</t>
  </si>
  <si>
    <t>2024-04-16 00:00:00</t>
  </si>
  <si>
    <t>2024-05-16 12:00:00</t>
  </si>
  <si>
    <t>2024-06-16 00:00:00</t>
  </si>
  <si>
    <t>2024-07-16 12:00:00</t>
  </si>
  <si>
    <t>2024-08-16 12:00:00</t>
  </si>
  <si>
    <t>2024-09-16 00:00:00</t>
  </si>
  <si>
    <t>2024-10-16 12:00:00</t>
  </si>
  <si>
    <t>2024-11-16 00:00:00</t>
  </si>
  <si>
    <t>2024-12-16 12:00:00</t>
  </si>
  <si>
    <t xml:space="preserve">  </t>
  </si>
  <si>
    <t>anual grace</t>
  </si>
  <si>
    <t>año</t>
  </si>
  <si>
    <t>Promedio Anual GRACE</t>
  </si>
  <si>
    <t>promedio por pozo</t>
  </si>
  <si>
    <t>mediana datos</t>
  </si>
  <si>
    <t xml:space="preserve">buscar mediana por año </t>
  </si>
  <si>
    <t>mediana 2023</t>
  </si>
  <si>
    <t>mediana para cada año con datos</t>
  </si>
  <si>
    <t>LO118
LO121</t>
  </si>
  <si>
    <t>LO121
LO118</t>
  </si>
  <si>
    <t>LO105
LO101</t>
  </si>
  <si>
    <t>LO046
LO068</t>
  </si>
  <si>
    <t>años con grace</t>
  </si>
  <si>
    <t>Anomalía (cm) = (34.36 - Mediana_Anual) × 100</t>
  </si>
  <si>
    <t xml:space="preserve">    </t>
  </si>
  <si>
    <t>La fórmula es:</t>
  </si>
  <si>
    <t>Z = (Valor del año - Media de todos los años) / Desviación Estándar</t>
  </si>
  <si>
    <t>Anomalía (m) = Línea Base (34.36) - Mediana Anual</t>
  </si>
  <si>
    <t>2002: 34.36 - 30.34 = +4.02 m</t>
  </si>
  <si>
    <t>2008: 34.36 - 29.06 = +5.30 m</t>
  </si>
  <si>
    <t>2013: 34.36 - 30.47 = +3.89 m</t>
  </si>
  <si>
    <t>2022: 34.36 - 36.27 = -1.91 m</t>
  </si>
  <si>
    <t>2023: 34.36 - 30.10 = +4.26 m</t>
  </si>
  <si>
    <t>Ahora hacemos lo mismo con tus datos de GRACE (en cm):</t>
  </si>
  <si>
    <t>Z-scores de GRACE:</t>
  </si>
  <si>
    <t>Valores GRACE: [+4.91, +0.71, -1.83, -10.97, -24.14]</t>
  </si>
  <si>
    <t>Media de GRACE: (-31.32) / 5 = -6.26 cm</t>
  </si>
  <si>
    <t>Desviación Estándar de GRACE: Aproximadamente 11.56 cm</t>
  </si>
  <si>
    <t>2002: (4.91 - (-6.26)) / 11.56 = +0.97</t>
  </si>
  <si>
    <t>2008: (0.71 - (-6.26)) / 11.56 = +0.60</t>
  </si>
  <si>
    <t>2013: (-1.83 - (-6.26)) / 11.56 = +0.38</t>
  </si>
  <si>
    <t>2022: (-10.97 - (-6.26)) / 11.56 = -0.41</t>
  </si>
  <si>
    <t>2023: (-24.14 - (-6.26)) / 11.56 = -1.55</t>
  </si>
  <si>
    <t>Año</t>
  </si>
  <si>
    <t>Z-Score Pozos (Columnas)</t>
  </si>
  <si>
    <t>Z-Score GRACE (Línea)</t>
  </si>
  <si>
    <t>mediana de los promedios por pozo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</si>
</sst>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4" fillId="0" borderId="1" xfId="0" applyFont="1" applyBorder="1" applyAlignment="1">
      <alignment horizontal="center" vertical="top"/>
    </xf>
    <xf numFmtId="0" fontId="3" fillId="0" borderId="0" xfId="1"/>
    <xf numFmtId="49" fontId="6" fillId="0" borderId="0" xfId="1" applyNumberFormat="1" applyFont="1" applyAlignment="1">
      <alignment horizontal="center" vertical="center" wrapText="1"/>
    </xf>
    <xf numFmtId="2" fontId="7" fillId="0" borderId="0" xfId="1" applyNumberFormat="1" applyFont="1" applyAlignment="1">
      <alignment wrapText="1"/>
    </xf>
    <xf numFmtId="14" fontId="6" fillId="0" borderId="0" xfId="1" applyNumberFormat="1" applyFont="1" applyAlignment="1">
      <alignment horizontal="center" vertical="center" wrapText="1"/>
    </xf>
    <xf numFmtId="0" fontId="2" fillId="0" borderId="0" xfId="1" applyFont="1"/>
    <xf numFmtId="2" fontId="3" fillId="0" borderId="0" xfId="1" applyNumberFormat="1"/>
    <xf numFmtId="0" fontId="5" fillId="0" borderId="0" xfId="1" applyFont="1" applyAlignment="1">
      <alignment horizontal="center"/>
    </xf>
    <xf numFmtId="0" fontId="3" fillId="0" borderId="0" xfId="1"/>
    <xf numFmtId="0" fontId="1" fillId="0" borderId="0" xfId="1" applyFont="1"/>
    <xf numFmtId="0" fontId="0" fillId="2" borderId="0" xfId="0" applyFill="1"/>
    <xf numFmtId="0" fontId="3" fillId="2" borderId="0" xfId="1" applyFill="1"/>
    <xf numFmtId="0" fontId="0" fillId="2" borderId="1" xfId="0" applyFill="1" applyBorder="1"/>
    <xf numFmtId="0" fontId="3" fillId="2" borderId="1" xfId="1" applyFill="1" applyBorder="1"/>
    <xf numFmtId="0" fontId="0" fillId="2" borderId="0" xfId="0" applyFill="1" applyBorder="1"/>
    <xf numFmtId="0" fontId="0" fillId="0" borderId="1" xfId="0" applyBorder="1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332CBB9C-373D-FB4E-AF3D-528595838B6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'med. piezo. puebla'!$G$103:$G$218</c:f>
              <c:numCache>
                <c:formatCode>General</c:formatCode>
                <c:ptCount val="116"/>
                <c:pt idx="0">
                  <c:v>72</c:v>
                </c:pt>
                <c:pt idx="1">
                  <c:v>63</c:v>
                </c:pt>
                <c:pt idx="3">
                  <c:v>197.82</c:v>
                </c:pt>
                <c:pt idx="5">
                  <c:v>76</c:v>
                </c:pt>
                <c:pt idx="6">
                  <c:v>60</c:v>
                </c:pt>
                <c:pt idx="9">
                  <c:v>22.56</c:v>
                </c:pt>
                <c:pt idx="11">
                  <c:v>40</c:v>
                </c:pt>
                <c:pt idx="12">
                  <c:v>38</c:v>
                </c:pt>
                <c:pt idx="13">
                  <c:v>25</c:v>
                </c:pt>
                <c:pt idx="16">
                  <c:v>11.38</c:v>
                </c:pt>
                <c:pt idx="19">
                  <c:v>48</c:v>
                </c:pt>
                <c:pt idx="22">
                  <c:v>11.92</c:v>
                </c:pt>
                <c:pt idx="23">
                  <c:v>5.5</c:v>
                </c:pt>
                <c:pt idx="24">
                  <c:v>13</c:v>
                </c:pt>
                <c:pt idx="25">
                  <c:v>28</c:v>
                </c:pt>
                <c:pt idx="28">
                  <c:v>8.52</c:v>
                </c:pt>
                <c:pt idx="29">
                  <c:v>7.49</c:v>
                </c:pt>
                <c:pt idx="30">
                  <c:v>1.5</c:v>
                </c:pt>
                <c:pt idx="31">
                  <c:v>9</c:v>
                </c:pt>
                <c:pt idx="33">
                  <c:v>21.68</c:v>
                </c:pt>
                <c:pt idx="36">
                  <c:v>28.23</c:v>
                </c:pt>
                <c:pt idx="39">
                  <c:v>10.91</c:v>
                </c:pt>
                <c:pt idx="41">
                  <c:v>140</c:v>
                </c:pt>
                <c:pt idx="42">
                  <c:v>5.17</c:v>
                </c:pt>
                <c:pt idx="43">
                  <c:v>48.71</c:v>
                </c:pt>
                <c:pt idx="45">
                  <c:v>3.4</c:v>
                </c:pt>
                <c:pt idx="46">
                  <c:v>33.35</c:v>
                </c:pt>
                <c:pt idx="47">
                  <c:v>54.5</c:v>
                </c:pt>
                <c:pt idx="48">
                  <c:v>9.1999999999999993</c:v>
                </c:pt>
                <c:pt idx="50">
                  <c:v>26.51</c:v>
                </c:pt>
                <c:pt idx="52">
                  <c:v>55.13</c:v>
                </c:pt>
                <c:pt idx="53">
                  <c:v>55.21</c:v>
                </c:pt>
                <c:pt idx="55">
                  <c:v>41.32</c:v>
                </c:pt>
                <c:pt idx="56">
                  <c:v>0.88</c:v>
                </c:pt>
                <c:pt idx="59">
                  <c:v>90</c:v>
                </c:pt>
                <c:pt idx="60">
                  <c:v>0.33</c:v>
                </c:pt>
                <c:pt idx="61">
                  <c:v>8.57</c:v>
                </c:pt>
                <c:pt idx="62">
                  <c:v>2.91</c:v>
                </c:pt>
                <c:pt idx="63">
                  <c:v>6.3</c:v>
                </c:pt>
                <c:pt idx="64">
                  <c:v>97.03</c:v>
                </c:pt>
                <c:pt idx="65">
                  <c:v>40</c:v>
                </c:pt>
                <c:pt idx="66">
                  <c:v>1.62</c:v>
                </c:pt>
                <c:pt idx="68">
                  <c:v>27</c:v>
                </c:pt>
                <c:pt idx="70">
                  <c:v>8.8000000000000007</c:v>
                </c:pt>
                <c:pt idx="71">
                  <c:v>2.0699999999999998</c:v>
                </c:pt>
                <c:pt idx="72">
                  <c:v>38.409999999999997</c:v>
                </c:pt>
                <c:pt idx="75">
                  <c:v>35.020000000000003</c:v>
                </c:pt>
                <c:pt idx="76">
                  <c:v>113.3</c:v>
                </c:pt>
                <c:pt idx="77">
                  <c:v>1.58</c:v>
                </c:pt>
                <c:pt idx="80">
                  <c:v>9.17</c:v>
                </c:pt>
                <c:pt idx="82">
                  <c:v>6.53</c:v>
                </c:pt>
                <c:pt idx="83">
                  <c:v>106</c:v>
                </c:pt>
                <c:pt idx="85">
                  <c:v>12.07</c:v>
                </c:pt>
                <c:pt idx="86">
                  <c:v>106.9</c:v>
                </c:pt>
                <c:pt idx="87">
                  <c:v>49.5</c:v>
                </c:pt>
                <c:pt idx="89">
                  <c:v>75</c:v>
                </c:pt>
                <c:pt idx="91">
                  <c:v>28.2</c:v>
                </c:pt>
                <c:pt idx="94">
                  <c:v>102</c:v>
                </c:pt>
                <c:pt idx="98">
                  <c:v>111.2</c:v>
                </c:pt>
                <c:pt idx="99">
                  <c:v>130</c:v>
                </c:pt>
                <c:pt idx="100">
                  <c:v>42.34</c:v>
                </c:pt>
                <c:pt idx="101">
                  <c:v>22</c:v>
                </c:pt>
                <c:pt idx="102">
                  <c:v>55.53</c:v>
                </c:pt>
                <c:pt idx="104">
                  <c:v>90</c:v>
                </c:pt>
                <c:pt idx="110">
                  <c:v>37.299999999999997</c:v>
                </c:pt>
                <c:pt idx="112">
                  <c:v>25</c:v>
                </c:pt>
                <c:pt idx="113">
                  <c:v>45</c:v>
                </c:pt>
                <c:pt idx="114">
                  <c:v>17</c:v>
                </c:pt>
                <c:pt idx="115">
                  <c:v>43.3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F-CA4A-A3D0-234753A21B6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'med. piezo. puebla'!$H$103:$H$218</c:f>
              <c:numCache>
                <c:formatCode>General</c:formatCode>
                <c:ptCount val="116"/>
                <c:pt idx="0">
                  <c:v>73.2</c:v>
                </c:pt>
                <c:pt idx="2">
                  <c:v>219</c:v>
                </c:pt>
                <c:pt idx="3">
                  <c:v>198.35</c:v>
                </c:pt>
                <c:pt idx="5">
                  <c:v>76</c:v>
                </c:pt>
                <c:pt idx="6">
                  <c:v>58.2</c:v>
                </c:pt>
                <c:pt idx="11">
                  <c:v>42.45</c:v>
                </c:pt>
                <c:pt idx="12">
                  <c:v>38</c:v>
                </c:pt>
                <c:pt idx="15">
                  <c:v>10.8</c:v>
                </c:pt>
                <c:pt idx="16">
                  <c:v>12.4</c:v>
                </c:pt>
                <c:pt idx="19">
                  <c:v>52.3</c:v>
                </c:pt>
                <c:pt idx="22">
                  <c:v>12</c:v>
                </c:pt>
                <c:pt idx="24">
                  <c:v>13.4</c:v>
                </c:pt>
                <c:pt idx="27">
                  <c:v>2.4</c:v>
                </c:pt>
                <c:pt idx="28">
                  <c:v>8.5399999999999991</c:v>
                </c:pt>
                <c:pt idx="29">
                  <c:v>8.61</c:v>
                </c:pt>
                <c:pt idx="30">
                  <c:v>2.15</c:v>
                </c:pt>
                <c:pt idx="31">
                  <c:v>8.7799999999999994</c:v>
                </c:pt>
                <c:pt idx="33">
                  <c:v>21.96</c:v>
                </c:pt>
                <c:pt idx="36">
                  <c:v>28.32</c:v>
                </c:pt>
                <c:pt idx="39">
                  <c:v>10.85</c:v>
                </c:pt>
                <c:pt idx="41">
                  <c:v>94.6</c:v>
                </c:pt>
                <c:pt idx="42">
                  <c:v>5.51</c:v>
                </c:pt>
                <c:pt idx="43">
                  <c:v>50</c:v>
                </c:pt>
                <c:pt idx="44">
                  <c:v>73.900000000000006</c:v>
                </c:pt>
                <c:pt idx="45">
                  <c:v>3.4</c:v>
                </c:pt>
                <c:pt idx="46">
                  <c:v>33.200000000000003</c:v>
                </c:pt>
                <c:pt idx="47">
                  <c:v>53.94</c:v>
                </c:pt>
                <c:pt idx="48">
                  <c:v>9.48</c:v>
                </c:pt>
                <c:pt idx="50">
                  <c:v>26.85</c:v>
                </c:pt>
                <c:pt idx="51">
                  <c:v>0.25</c:v>
                </c:pt>
                <c:pt idx="52">
                  <c:v>56</c:v>
                </c:pt>
                <c:pt idx="53">
                  <c:v>55.35</c:v>
                </c:pt>
                <c:pt idx="54">
                  <c:v>34</c:v>
                </c:pt>
                <c:pt idx="59">
                  <c:v>93.7</c:v>
                </c:pt>
                <c:pt idx="60">
                  <c:v>0.5</c:v>
                </c:pt>
                <c:pt idx="61">
                  <c:v>8.6999999999999993</c:v>
                </c:pt>
                <c:pt idx="62">
                  <c:v>3.15</c:v>
                </c:pt>
                <c:pt idx="64">
                  <c:v>97.34</c:v>
                </c:pt>
                <c:pt idx="65">
                  <c:v>41.7</c:v>
                </c:pt>
                <c:pt idx="67">
                  <c:v>14.4</c:v>
                </c:pt>
                <c:pt idx="70">
                  <c:v>8.6199999999999992</c:v>
                </c:pt>
                <c:pt idx="71">
                  <c:v>2.2000000000000002</c:v>
                </c:pt>
                <c:pt idx="72">
                  <c:v>37.6</c:v>
                </c:pt>
                <c:pt idx="74">
                  <c:v>83.5</c:v>
                </c:pt>
                <c:pt idx="75">
                  <c:v>35.28</c:v>
                </c:pt>
                <c:pt idx="76">
                  <c:v>113.4</c:v>
                </c:pt>
                <c:pt idx="77">
                  <c:v>1.6</c:v>
                </c:pt>
                <c:pt idx="78">
                  <c:v>63.68</c:v>
                </c:pt>
                <c:pt idx="79">
                  <c:v>18.62</c:v>
                </c:pt>
                <c:pt idx="80">
                  <c:v>9</c:v>
                </c:pt>
                <c:pt idx="81">
                  <c:v>45.6</c:v>
                </c:pt>
                <c:pt idx="82">
                  <c:v>4.95</c:v>
                </c:pt>
                <c:pt idx="83">
                  <c:v>107.6</c:v>
                </c:pt>
                <c:pt idx="84">
                  <c:v>49.47</c:v>
                </c:pt>
                <c:pt idx="86">
                  <c:v>107.7</c:v>
                </c:pt>
                <c:pt idx="87">
                  <c:v>54</c:v>
                </c:pt>
                <c:pt idx="88">
                  <c:v>29.2</c:v>
                </c:pt>
                <c:pt idx="89">
                  <c:v>75.239999999999995</c:v>
                </c:pt>
                <c:pt idx="90">
                  <c:v>11.38</c:v>
                </c:pt>
                <c:pt idx="91">
                  <c:v>28.7</c:v>
                </c:pt>
                <c:pt idx="92">
                  <c:v>77.819999999999993</c:v>
                </c:pt>
                <c:pt idx="93">
                  <c:v>146</c:v>
                </c:pt>
                <c:pt idx="94">
                  <c:v>115.57</c:v>
                </c:pt>
                <c:pt idx="96">
                  <c:v>62.27</c:v>
                </c:pt>
                <c:pt idx="97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EF-CA4A-A3D0-234753A21B6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'med. piezo. puebla'!$I$103:$I$218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02-39EF-CA4A-A3D0-234753A21B6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'med. piezo. puebla'!$J$103:$J$218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03-39EF-CA4A-A3D0-234753A21B6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'med. piezo. puebla'!$K$103:$K$218</c:f>
              <c:numCache>
                <c:formatCode>General</c:formatCode>
                <c:ptCount val="116"/>
                <c:pt idx="0">
                  <c:v>76</c:v>
                </c:pt>
                <c:pt idx="2">
                  <c:v>220.28</c:v>
                </c:pt>
                <c:pt idx="3">
                  <c:v>199.46</c:v>
                </c:pt>
                <c:pt idx="5">
                  <c:v>76.75</c:v>
                </c:pt>
                <c:pt idx="6">
                  <c:v>58.8</c:v>
                </c:pt>
                <c:pt idx="9">
                  <c:v>23.7</c:v>
                </c:pt>
                <c:pt idx="11">
                  <c:v>44</c:v>
                </c:pt>
                <c:pt idx="12">
                  <c:v>38.270000000000003</c:v>
                </c:pt>
                <c:pt idx="13">
                  <c:v>17</c:v>
                </c:pt>
                <c:pt idx="15">
                  <c:v>11.2</c:v>
                </c:pt>
                <c:pt idx="16">
                  <c:v>12.17</c:v>
                </c:pt>
                <c:pt idx="18">
                  <c:v>8.11</c:v>
                </c:pt>
                <c:pt idx="19">
                  <c:v>53.55</c:v>
                </c:pt>
                <c:pt idx="22">
                  <c:v>12.35</c:v>
                </c:pt>
                <c:pt idx="23">
                  <c:v>5.9</c:v>
                </c:pt>
                <c:pt idx="24">
                  <c:v>14.07</c:v>
                </c:pt>
                <c:pt idx="25">
                  <c:v>37.549999999999997</c:v>
                </c:pt>
                <c:pt idx="27">
                  <c:v>2.94</c:v>
                </c:pt>
                <c:pt idx="28">
                  <c:v>7.74</c:v>
                </c:pt>
                <c:pt idx="29">
                  <c:v>8.65</c:v>
                </c:pt>
                <c:pt idx="30">
                  <c:v>2.63</c:v>
                </c:pt>
                <c:pt idx="31">
                  <c:v>8.8000000000000007</c:v>
                </c:pt>
                <c:pt idx="33">
                  <c:v>22.38</c:v>
                </c:pt>
                <c:pt idx="36">
                  <c:v>27.05</c:v>
                </c:pt>
                <c:pt idx="37">
                  <c:v>6.27</c:v>
                </c:pt>
                <c:pt idx="38">
                  <c:v>10.199999999999999</c:v>
                </c:pt>
                <c:pt idx="39">
                  <c:v>10.96</c:v>
                </c:pt>
                <c:pt idx="41">
                  <c:v>95.24</c:v>
                </c:pt>
                <c:pt idx="42">
                  <c:v>6</c:v>
                </c:pt>
                <c:pt idx="43">
                  <c:v>49.94</c:v>
                </c:pt>
                <c:pt idx="44">
                  <c:v>74</c:v>
                </c:pt>
                <c:pt idx="45">
                  <c:v>3.39</c:v>
                </c:pt>
                <c:pt idx="46">
                  <c:v>33.26</c:v>
                </c:pt>
                <c:pt idx="47">
                  <c:v>53.94</c:v>
                </c:pt>
                <c:pt idx="48">
                  <c:v>10.02</c:v>
                </c:pt>
                <c:pt idx="50">
                  <c:v>27.73</c:v>
                </c:pt>
                <c:pt idx="51">
                  <c:v>0.25</c:v>
                </c:pt>
                <c:pt idx="52">
                  <c:v>55.7</c:v>
                </c:pt>
                <c:pt idx="53">
                  <c:v>56.04</c:v>
                </c:pt>
                <c:pt idx="54">
                  <c:v>56.91</c:v>
                </c:pt>
                <c:pt idx="55">
                  <c:v>43.1</c:v>
                </c:pt>
                <c:pt idx="56">
                  <c:v>0.75</c:v>
                </c:pt>
                <c:pt idx="57">
                  <c:v>57.57</c:v>
                </c:pt>
                <c:pt idx="59">
                  <c:v>108.58</c:v>
                </c:pt>
                <c:pt idx="60">
                  <c:v>2.1</c:v>
                </c:pt>
                <c:pt idx="61">
                  <c:v>9.65</c:v>
                </c:pt>
                <c:pt idx="62">
                  <c:v>3.32</c:v>
                </c:pt>
                <c:pt idx="63">
                  <c:v>6.8</c:v>
                </c:pt>
                <c:pt idx="64">
                  <c:v>97.45</c:v>
                </c:pt>
                <c:pt idx="65">
                  <c:v>41.86</c:v>
                </c:pt>
                <c:pt idx="67">
                  <c:v>15.98</c:v>
                </c:pt>
                <c:pt idx="68">
                  <c:v>35</c:v>
                </c:pt>
                <c:pt idx="70">
                  <c:v>11.26</c:v>
                </c:pt>
                <c:pt idx="71">
                  <c:v>2.2400000000000002</c:v>
                </c:pt>
                <c:pt idx="72">
                  <c:v>37.53</c:v>
                </c:pt>
                <c:pt idx="73">
                  <c:v>20.86</c:v>
                </c:pt>
                <c:pt idx="74">
                  <c:v>85.97</c:v>
                </c:pt>
                <c:pt idx="75">
                  <c:v>35.840000000000003</c:v>
                </c:pt>
                <c:pt idx="76">
                  <c:v>113.87</c:v>
                </c:pt>
                <c:pt idx="77">
                  <c:v>1.5</c:v>
                </c:pt>
                <c:pt idx="78">
                  <c:v>64.180000000000007</c:v>
                </c:pt>
                <c:pt idx="79">
                  <c:v>18.78</c:v>
                </c:pt>
                <c:pt idx="80">
                  <c:v>9.19</c:v>
                </c:pt>
                <c:pt idx="81">
                  <c:v>46.7</c:v>
                </c:pt>
                <c:pt idx="82">
                  <c:v>6.46</c:v>
                </c:pt>
                <c:pt idx="83">
                  <c:v>110.96</c:v>
                </c:pt>
                <c:pt idx="84">
                  <c:v>56.18</c:v>
                </c:pt>
                <c:pt idx="86">
                  <c:v>110.43</c:v>
                </c:pt>
                <c:pt idx="87">
                  <c:v>56.37</c:v>
                </c:pt>
                <c:pt idx="88">
                  <c:v>30.07</c:v>
                </c:pt>
                <c:pt idx="89">
                  <c:v>75.5</c:v>
                </c:pt>
                <c:pt idx="90">
                  <c:v>11.83</c:v>
                </c:pt>
                <c:pt idx="91">
                  <c:v>29</c:v>
                </c:pt>
                <c:pt idx="92">
                  <c:v>78.8</c:v>
                </c:pt>
                <c:pt idx="93">
                  <c:v>146.66999999999999</c:v>
                </c:pt>
                <c:pt idx="96">
                  <c:v>83.62</c:v>
                </c:pt>
                <c:pt idx="97">
                  <c:v>161.01</c:v>
                </c:pt>
                <c:pt idx="98">
                  <c:v>110.7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EF-CA4A-A3D0-234753A21B6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'med. piezo. puebla'!$L$103:$L$218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05-39EF-CA4A-A3D0-234753A21B6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puebla'!$M$103:$M$218</c:f>
              <c:numCache>
                <c:formatCode>General</c:formatCode>
                <c:ptCount val="116"/>
                <c:pt idx="1">
                  <c:v>72.430000000000007</c:v>
                </c:pt>
                <c:pt idx="2">
                  <c:v>200.88</c:v>
                </c:pt>
                <c:pt idx="3">
                  <c:v>200.35</c:v>
                </c:pt>
                <c:pt idx="5">
                  <c:v>76.959999999999994</c:v>
                </c:pt>
                <c:pt idx="6">
                  <c:v>59.42</c:v>
                </c:pt>
                <c:pt idx="8">
                  <c:v>72.209999999999994</c:v>
                </c:pt>
                <c:pt idx="9">
                  <c:v>24.18</c:v>
                </c:pt>
                <c:pt idx="10">
                  <c:v>53.68</c:v>
                </c:pt>
                <c:pt idx="11">
                  <c:v>44.87</c:v>
                </c:pt>
                <c:pt idx="12">
                  <c:v>38.700000000000003</c:v>
                </c:pt>
                <c:pt idx="13">
                  <c:v>20.46</c:v>
                </c:pt>
                <c:pt idx="14">
                  <c:v>12.73</c:v>
                </c:pt>
                <c:pt idx="15">
                  <c:v>11.2</c:v>
                </c:pt>
                <c:pt idx="16">
                  <c:v>12.35</c:v>
                </c:pt>
                <c:pt idx="18">
                  <c:v>8.67</c:v>
                </c:pt>
                <c:pt idx="19">
                  <c:v>54.2</c:v>
                </c:pt>
                <c:pt idx="22">
                  <c:v>12.87</c:v>
                </c:pt>
                <c:pt idx="23">
                  <c:v>10.47</c:v>
                </c:pt>
                <c:pt idx="24">
                  <c:v>15.31</c:v>
                </c:pt>
                <c:pt idx="25">
                  <c:v>26.04</c:v>
                </c:pt>
                <c:pt idx="27">
                  <c:v>4.1900000000000004</c:v>
                </c:pt>
                <c:pt idx="28">
                  <c:v>8.27</c:v>
                </c:pt>
                <c:pt idx="29">
                  <c:v>8.9700000000000006</c:v>
                </c:pt>
                <c:pt idx="30">
                  <c:v>3.14</c:v>
                </c:pt>
                <c:pt idx="31">
                  <c:v>6.25</c:v>
                </c:pt>
                <c:pt idx="33">
                  <c:v>22.82</c:v>
                </c:pt>
                <c:pt idx="36">
                  <c:v>26.77</c:v>
                </c:pt>
                <c:pt idx="37">
                  <c:v>6.3</c:v>
                </c:pt>
                <c:pt idx="38">
                  <c:v>10.3</c:v>
                </c:pt>
                <c:pt idx="39">
                  <c:v>10.86</c:v>
                </c:pt>
                <c:pt idx="41">
                  <c:v>96.13</c:v>
                </c:pt>
                <c:pt idx="42">
                  <c:v>8.34</c:v>
                </c:pt>
                <c:pt idx="43">
                  <c:v>50.13</c:v>
                </c:pt>
                <c:pt idx="44">
                  <c:v>74.069999999999993</c:v>
                </c:pt>
                <c:pt idx="45">
                  <c:v>3.41</c:v>
                </c:pt>
                <c:pt idx="46">
                  <c:v>34.119999999999997</c:v>
                </c:pt>
                <c:pt idx="47">
                  <c:v>38.450000000000003</c:v>
                </c:pt>
                <c:pt idx="48">
                  <c:v>10.6</c:v>
                </c:pt>
                <c:pt idx="50">
                  <c:v>28.34</c:v>
                </c:pt>
                <c:pt idx="51">
                  <c:v>0.25</c:v>
                </c:pt>
                <c:pt idx="52">
                  <c:v>56.52</c:v>
                </c:pt>
                <c:pt idx="53">
                  <c:v>60.37</c:v>
                </c:pt>
                <c:pt idx="54">
                  <c:v>58.36</c:v>
                </c:pt>
                <c:pt idx="55">
                  <c:v>44</c:v>
                </c:pt>
                <c:pt idx="56">
                  <c:v>1.44</c:v>
                </c:pt>
                <c:pt idx="57">
                  <c:v>62.27</c:v>
                </c:pt>
                <c:pt idx="58">
                  <c:v>4.92</c:v>
                </c:pt>
                <c:pt idx="59">
                  <c:v>110.7</c:v>
                </c:pt>
                <c:pt idx="60">
                  <c:v>2.04</c:v>
                </c:pt>
                <c:pt idx="61">
                  <c:v>10.84</c:v>
                </c:pt>
                <c:pt idx="62">
                  <c:v>4.0999999999999996</c:v>
                </c:pt>
                <c:pt idx="63">
                  <c:v>6.41</c:v>
                </c:pt>
                <c:pt idx="64">
                  <c:v>97.85</c:v>
                </c:pt>
                <c:pt idx="65">
                  <c:v>42.65</c:v>
                </c:pt>
                <c:pt idx="66">
                  <c:v>1.75</c:v>
                </c:pt>
                <c:pt idx="67">
                  <c:v>16.57</c:v>
                </c:pt>
                <c:pt idx="68">
                  <c:v>36.520000000000003</c:v>
                </c:pt>
                <c:pt idx="69">
                  <c:v>2.6</c:v>
                </c:pt>
                <c:pt idx="70">
                  <c:v>11.81</c:v>
                </c:pt>
                <c:pt idx="71">
                  <c:v>2.2599999999999998</c:v>
                </c:pt>
                <c:pt idx="72">
                  <c:v>38.35</c:v>
                </c:pt>
                <c:pt idx="73">
                  <c:v>20.25</c:v>
                </c:pt>
                <c:pt idx="74">
                  <c:v>90</c:v>
                </c:pt>
                <c:pt idx="75">
                  <c:v>36.36</c:v>
                </c:pt>
                <c:pt idx="76">
                  <c:v>116.37</c:v>
                </c:pt>
                <c:pt idx="77">
                  <c:v>1.67</c:v>
                </c:pt>
                <c:pt idx="78">
                  <c:v>66.94</c:v>
                </c:pt>
                <c:pt idx="79">
                  <c:v>18.89</c:v>
                </c:pt>
                <c:pt idx="80">
                  <c:v>11.07</c:v>
                </c:pt>
                <c:pt idx="82">
                  <c:v>6.24</c:v>
                </c:pt>
                <c:pt idx="83">
                  <c:v>113.23</c:v>
                </c:pt>
                <c:pt idx="84">
                  <c:v>36.03</c:v>
                </c:pt>
                <c:pt idx="85">
                  <c:v>13.07</c:v>
                </c:pt>
                <c:pt idx="86">
                  <c:v>112.73</c:v>
                </c:pt>
                <c:pt idx="87">
                  <c:v>56.73</c:v>
                </c:pt>
                <c:pt idx="88">
                  <c:v>30.13</c:v>
                </c:pt>
                <c:pt idx="89">
                  <c:v>76.13</c:v>
                </c:pt>
                <c:pt idx="90">
                  <c:v>12.19</c:v>
                </c:pt>
                <c:pt idx="91">
                  <c:v>30.55</c:v>
                </c:pt>
                <c:pt idx="92">
                  <c:v>80.849999999999994</c:v>
                </c:pt>
                <c:pt idx="93">
                  <c:v>148.72</c:v>
                </c:pt>
                <c:pt idx="96">
                  <c:v>84.2</c:v>
                </c:pt>
                <c:pt idx="97">
                  <c:v>162.72999999999999</c:v>
                </c:pt>
                <c:pt idx="98">
                  <c:v>94.88</c:v>
                </c:pt>
                <c:pt idx="99">
                  <c:v>143.02000000000001</c:v>
                </c:pt>
                <c:pt idx="100">
                  <c:v>43.15</c:v>
                </c:pt>
                <c:pt idx="101">
                  <c:v>27.07</c:v>
                </c:pt>
                <c:pt idx="102">
                  <c:v>56.42</c:v>
                </c:pt>
                <c:pt idx="104">
                  <c:v>81.55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EF-CA4A-A3D0-234753A21B6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puebla'!$N$103:$N$218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07-39EF-CA4A-A3D0-234753A21B6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puebla'!$O$103:$O$218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08-39EF-CA4A-A3D0-234753A21B6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puebla'!$P$103:$P$218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09-39EF-CA4A-A3D0-234753A21B6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puebla'!$Q$103:$Q$218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0A-39EF-CA4A-A3D0-234753A21B6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puebla'!$R$103:$R$218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0B-39EF-CA4A-A3D0-234753A21B6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puebla'!$S$103:$S$218</c:f>
              <c:numCache>
                <c:formatCode>General</c:formatCode>
                <c:ptCount val="116"/>
                <c:pt idx="0">
                  <c:v>77.7</c:v>
                </c:pt>
                <c:pt idx="1">
                  <c:v>74.05</c:v>
                </c:pt>
                <c:pt idx="2">
                  <c:v>207.4</c:v>
                </c:pt>
                <c:pt idx="3">
                  <c:v>205.4</c:v>
                </c:pt>
                <c:pt idx="5">
                  <c:v>78.89</c:v>
                </c:pt>
                <c:pt idx="6">
                  <c:v>61.76</c:v>
                </c:pt>
                <c:pt idx="8">
                  <c:v>74.23</c:v>
                </c:pt>
                <c:pt idx="9">
                  <c:v>25.15</c:v>
                </c:pt>
                <c:pt idx="11">
                  <c:v>46.97</c:v>
                </c:pt>
                <c:pt idx="12">
                  <c:v>39.31</c:v>
                </c:pt>
                <c:pt idx="13">
                  <c:v>21.62</c:v>
                </c:pt>
                <c:pt idx="14">
                  <c:v>13.55</c:v>
                </c:pt>
                <c:pt idx="15">
                  <c:v>12.65</c:v>
                </c:pt>
                <c:pt idx="16">
                  <c:v>13.15</c:v>
                </c:pt>
                <c:pt idx="18">
                  <c:v>9.02</c:v>
                </c:pt>
                <c:pt idx="19">
                  <c:v>56.05</c:v>
                </c:pt>
                <c:pt idx="22">
                  <c:v>13.44</c:v>
                </c:pt>
                <c:pt idx="24">
                  <c:v>16.95</c:v>
                </c:pt>
                <c:pt idx="25">
                  <c:v>27.33</c:v>
                </c:pt>
                <c:pt idx="27">
                  <c:v>5.0999999999999996</c:v>
                </c:pt>
                <c:pt idx="28">
                  <c:v>8.57</c:v>
                </c:pt>
                <c:pt idx="29">
                  <c:v>9.4499999999999993</c:v>
                </c:pt>
                <c:pt idx="30">
                  <c:v>3.88</c:v>
                </c:pt>
                <c:pt idx="31">
                  <c:v>6.9</c:v>
                </c:pt>
                <c:pt idx="33">
                  <c:v>24.05</c:v>
                </c:pt>
                <c:pt idx="36">
                  <c:v>26.97</c:v>
                </c:pt>
                <c:pt idx="37">
                  <c:v>6.45</c:v>
                </c:pt>
                <c:pt idx="38">
                  <c:v>11.13</c:v>
                </c:pt>
                <c:pt idx="39">
                  <c:v>10.97</c:v>
                </c:pt>
                <c:pt idx="42">
                  <c:v>8.5</c:v>
                </c:pt>
                <c:pt idx="43">
                  <c:v>52.65</c:v>
                </c:pt>
                <c:pt idx="44">
                  <c:v>75.55</c:v>
                </c:pt>
                <c:pt idx="45">
                  <c:v>3.65</c:v>
                </c:pt>
                <c:pt idx="46">
                  <c:v>35.340000000000003</c:v>
                </c:pt>
                <c:pt idx="47">
                  <c:v>41.4</c:v>
                </c:pt>
                <c:pt idx="48">
                  <c:v>11.5</c:v>
                </c:pt>
                <c:pt idx="50">
                  <c:v>29.8</c:v>
                </c:pt>
                <c:pt idx="52">
                  <c:v>57.4</c:v>
                </c:pt>
                <c:pt idx="56">
                  <c:v>1.6</c:v>
                </c:pt>
                <c:pt idx="58">
                  <c:v>5.35</c:v>
                </c:pt>
                <c:pt idx="60">
                  <c:v>2.56</c:v>
                </c:pt>
                <c:pt idx="61">
                  <c:v>12.25</c:v>
                </c:pt>
                <c:pt idx="62">
                  <c:v>5.05</c:v>
                </c:pt>
                <c:pt idx="63">
                  <c:v>6.55</c:v>
                </c:pt>
                <c:pt idx="64">
                  <c:v>100.3</c:v>
                </c:pt>
                <c:pt idx="65">
                  <c:v>43.67</c:v>
                </c:pt>
                <c:pt idx="66">
                  <c:v>2.0499999999999998</c:v>
                </c:pt>
                <c:pt idx="67">
                  <c:v>17.98</c:v>
                </c:pt>
                <c:pt idx="68">
                  <c:v>38.020000000000003</c:v>
                </c:pt>
                <c:pt idx="69">
                  <c:v>2</c:v>
                </c:pt>
                <c:pt idx="70">
                  <c:v>13.78</c:v>
                </c:pt>
                <c:pt idx="71">
                  <c:v>2.95</c:v>
                </c:pt>
                <c:pt idx="72">
                  <c:v>39.86</c:v>
                </c:pt>
                <c:pt idx="73">
                  <c:v>19.66</c:v>
                </c:pt>
                <c:pt idx="74">
                  <c:v>93.83</c:v>
                </c:pt>
                <c:pt idx="76">
                  <c:v>116.91</c:v>
                </c:pt>
                <c:pt idx="77">
                  <c:v>1.94</c:v>
                </c:pt>
                <c:pt idx="78">
                  <c:v>70.06</c:v>
                </c:pt>
                <c:pt idx="79">
                  <c:v>20.149999999999999</c:v>
                </c:pt>
                <c:pt idx="80">
                  <c:v>13.6</c:v>
                </c:pt>
                <c:pt idx="81">
                  <c:v>50.3</c:v>
                </c:pt>
                <c:pt idx="82">
                  <c:v>7.47</c:v>
                </c:pt>
                <c:pt idx="83">
                  <c:v>115.96</c:v>
                </c:pt>
                <c:pt idx="84">
                  <c:v>40.549999999999997</c:v>
                </c:pt>
                <c:pt idx="85">
                  <c:v>14.44</c:v>
                </c:pt>
                <c:pt idx="86">
                  <c:v>116.42</c:v>
                </c:pt>
                <c:pt idx="87">
                  <c:v>57.65</c:v>
                </c:pt>
                <c:pt idx="88">
                  <c:v>30.99</c:v>
                </c:pt>
                <c:pt idx="89">
                  <c:v>77.78</c:v>
                </c:pt>
                <c:pt idx="90">
                  <c:v>13.17</c:v>
                </c:pt>
                <c:pt idx="91">
                  <c:v>32.22</c:v>
                </c:pt>
                <c:pt idx="92">
                  <c:v>82.2</c:v>
                </c:pt>
                <c:pt idx="93">
                  <c:v>153.03</c:v>
                </c:pt>
                <c:pt idx="94">
                  <c:v>119.45</c:v>
                </c:pt>
                <c:pt idx="97">
                  <c:v>164.88</c:v>
                </c:pt>
                <c:pt idx="98">
                  <c:v>99.5</c:v>
                </c:pt>
                <c:pt idx="99">
                  <c:v>146.54</c:v>
                </c:pt>
                <c:pt idx="100">
                  <c:v>45.3</c:v>
                </c:pt>
                <c:pt idx="101">
                  <c:v>29.06</c:v>
                </c:pt>
                <c:pt idx="102">
                  <c:v>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EF-CA4A-A3D0-234753A21B6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puebla'!$T$103:$T$218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0D-39EF-CA4A-A3D0-234753A21B6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puebla'!$U$103:$U$218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0E-39EF-CA4A-A3D0-234753A21B6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puebla'!$V$103:$V$218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0F-39EF-CA4A-A3D0-234753A21B6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puebla'!$W$103:$W$218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10-39EF-CA4A-A3D0-234753A21B6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puebla'!$X$103:$X$218</c:f>
              <c:numCache>
                <c:formatCode>General</c:formatCode>
                <c:ptCount val="116"/>
                <c:pt idx="0">
                  <c:v>75.75</c:v>
                </c:pt>
                <c:pt idx="1">
                  <c:v>69.7</c:v>
                </c:pt>
                <c:pt idx="2">
                  <c:v>207.5</c:v>
                </c:pt>
                <c:pt idx="3">
                  <c:v>200</c:v>
                </c:pt>
                <c:pt idx="5">
                  <c:v>79.61</c:v>
                </c:pt>
                <c:pt idx="6">
                  <c:v>61.88</c:v>
                </c:pt>
                <c:pt idx="9">
                  <c:v>29.2</c:v>
                </c:pt>
                <c:pt idx="11">
                  <c:v>47.21</c:v>
                </c:pt>
                <c:pt idx="12">
                  <c:v>40.090000000000003</c:v>
                </c:pt>
                <c:pt idx="13">
                  <c:v>21.78</c:v>
                </c:pt>
                <c:pt idx="14">
                  <c:v>13.7</c:v>
                </c:pt>
                <c:pt idx="15">
                  <c:v>12.75</c:v>
                </c:pt>
                <c:pt idx="16">
                  <c:v>16.100000000000001</c:v>
                </c:pt>
                <c:pt idx="18">
                  <c:v>22.4</c:v>
                </c:pt>
                <c:pt idx="19">
                  <c:v>56.15</c:v>
                </c:pt>
                <c:pt idx="22">
                  <c:v>14.16</c:v>
                </c:pt>
                <c:pt idx="24">
                  <c:v>18.149999999999999</c:v>
                </c:pt>
                <c:pt idx="25">
                  <c:v>27.7</c:v>
                </c:pt>
                <c:pt idx="27">
                  <c:v>4.55</c:v>
                </c:pt>
                <c:pt idx="28">
                  <c:v>8.0500000000000007</c:v>
                </c:pt>
                <c:pt idx="29">
                  <c:v>7.9</c:v>
                </c:pt>
                <c:pt idx="31">
                  <c:v>6.9</c:v>
                </c:pt>
                <c:pt idx="33">
                  <c:v>26.4</c:v>
                </c:pt>
                <c:pt idx="36">
                  <c:v>27.15</c:v>
                </c:pt>
                <c:pt idx="37">
                  <c:v>5.7</c:v>
                </c:pt>
                <c:pt idx="38">
                  <c:v>12.2</c:v>
                </c:pt>
                <c:pt idx="39">
                  <c:v>10.73</c:v>
                </c:pt>
                <c:pt idx="43">
                  <c:v>53.41</c:v>
                </c:pt>
                <c:pt idx="44">
                  <c:v>77.2</c:v>
                </c:pt>
                <c:pt idx="45">
                  <c:v>3.4</c:v>
                </c:pt>
                <c:pt idx="48">
                  <c:v>12.15</c:v>
                </c:pt>
                <c:pt idx="50">
                  <c:v>30.7</c:v>
                </c:pt>
                <c:pt idx="52">
                  <c:v>59.13</c:v>
                </c:pt>
                <c:pt idx="56">
                  <c:v>2.0099999999999998</c:v>
                </c:pt>
                <c:pt idx="60">
                  <c:v>1.1499999999999999</c:v>
                </c:pt>
                <c:pt idx="61">
                  <c:v>13.18</c:v>
                </c:pt>
                <c:pt idx="62">
                  <c:v>5.0999999999999996</c:v>
                </c:pt>
                <c:pt idx="63">
                  <c:v>7</c:v>
                </c:pt>
                <c:pt idx="64">
                  <c:v>100.55</c:v>
                </c:pt>
                <c:pt idx="66">
                  <c:v>2</c:v>
                </c:pt>
                <c:pt idx="67">
                  <c:v>18.8</c:v>
                </c:pt>
                <c:pt idx="68">
                  <c:v>40.74</c:v>
                </c:pt>
                <c:pt idx="70">
                  <c:v>13.81</c:v>
                </c:pt>
                <c:pt idx="71">
                  <c:v>2.0699999999999998</c:v>
                </c:pt>
                <c:pt idx="72">
                  <c:v>40.799999999999997</c:v>
                </c:pt>
                <c:pt idx="74">
                  <c:v>112.21</c:v>
                </c:pt>
                <c:pt idx="76">
                  <c:v>117.3</c:v>
                </c:pt>
                <c:pt idx="77">
                  <c:v>1.8</c:v>
                </c:pt>
                <c:pt idx="78">
                  <c:v>69.81</c:v>
                </c:pt>
                <c:pt idx="80">
                  <c:v>11.7</c:v>
                </c:pt>
                <c:pt idx="81">
                  <c:v>67</c:v>
                </c:pt>
                <c:pt idx="82">
                  <c:v>7.5</c:v>
                </c:pt>
                <c:pt idx="84">
                  <c:v>38.119999999999997</c:v>
                </c:pt>
                <c:pt idx="85">
                  <c:v>13.7</c:v>
                </c:pt>
                <c:pt idx="86">
                  <c:v>116.5</c:v>
                </c:pt>
                <c:pt idx="87">
                  <c:v>57.9</c:v>
                </c:pt>
                <c:pt idx="88">
                  <c:v>30.47</c:v>
                </c:pt>
                <c:pt idx="89">
                  <c:v>79.12</c:v>
                </c:pt>
                <c:pt idx="90">
                  <c:v>13.76</c:v>
                </c:pt>
                <c:pt idx="91">
                  <c:v>37.5</c:v>
                </c:pt>
                <c:pt idx="92">
                  <c:v>78.599999999999994</c:v>
                </c:pt>
                <c:pt idx="93">
                  <c:v>153.15</c:v>
                </c:pt>
                <c:pt idx="94">
                  <c:v>119.5</c:v>
                </c:pt>
                <c:pt idx="97">
                  <c:v>169.12</c:v>
                </c:pt>
                <c:pt idx="98">
                  <c:v>110.05</c:v>
                </c:pt>
                <c:pt idx="100">
                  <c:v>40</c:v>
                </c:pt>
                <c:pt idx="101">
                  <c:v>34.81</c:v>
                </c:pt>
                <c:pt idx="102">
                  <c:v>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9EF-CA4A-A3D0-234753A21B6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puebla'!$Y$103:$Y$218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12-39EF-CA4A-A3D0-234753A21B6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puebla'!$Z$103:$Z$218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13-39EF-CA4A-A3D0-234753A21B6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puebla'!$AA$103:$AA$218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14-39EF-CA4A-A3D0-234753A21B6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puebla'!$AB$103:$AB$218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15-39EF-CA4A-A3D0-234753A21B6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puebla'!$AC$103:$AC$218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16-39EF-CA4A-A3D0-234753A21B6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puebla'!$AD$103:$AD$218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17-39EF-CA4A-A3D0-234753A21B6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puebla'!$AE$103:$AE$218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18-39EF-CA4A-A3D0-234753A21B6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puebla'!$AF$103:$AF$218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19-39EF-CA4A-A3D0-234753A21B6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puebla'!$AG$103:$AG$218</c:f>
              <c:numCache>
                <c:formatCode>General</c:formatCode>
                <c:ptCount val="116"/>
                <c:pt idx="0">
                  <c:v>82</c:v>
                </c:pt>
                <c:pt idx="1">
                  <c:v>78</c:v>
                </c:pt>
                <c:pt idx="2">
                  <c:v>210</c:v>
                </c:pt>
                <c:pt idx="3">
                  <c:v>212</c:v>
                </c:pt>
                <c:pt idx="9">
                  <c:v>40</c:v>
                </c:pt>
                <c:pt idx="11">
                  <c:v>49.63</c:v>
                </c:pt>
                <c:pt idx="12">
                  <c:v>60</c:v>
                </c:pt>
                <c:pt idx="16">
                  <c:v>18</c:v>
                </c:pt>
                <c:pt idx="18">
                  <c:v>30</c:v>
                </c:pt>
                <c:pt idx="20">
                  <c:v>63.2</c:v>
                </c:pt>
                <c:pt idx="22">
                  <c:v>16</c:v>
                </c:pt>
                <c:pt idx="23">
                  <c:v>54</c:v>
                </c:pt>
                <c:pt idx="24">
                  <c:v>19</c:v>
                </c:pt>
                <c:pt idx="26">
                  <c:v>34.020000000000003</c:v>
                </c:pt>
                <c:pt idx="27">
                  <c:v>15</c:v>
                </c:pt>
                <c:pt idx="28">
                  <c:v>9</c:v>
                </c:pt>
                <c:pt idx="31">
                  <c:v>21</c:v>
                </c:pt>
                <c:pt idx="33">
                  <c:v>33.1</c:v>
                </c:pt>
                <c:pt idx="34">
                  <c:v>13.8</c:v>
                </c:pt>
                <c:pt idx="36">
                  <c:v>28</c:v>
                </c:pt>
                <c:pt idx="37">
                  <c:v>4.13</c:v>
                </c:pt>
                <c:pt idx="39">
                  <c:v>10.1</c:v>
                </c:pt>
                <c:pt idx="42">
                  <c:v>6.14</c:v>
                </c:pt>
                <c:pt idx="44">
                  <c:v>90</c:v>
                </c:pt>
                <c:pt idx="45">
                  <c:v>3.63</c:v>
                </c:pt>
                <c:pt idx="46">
                  <c:v>57</c:v>
                </c:pt>
                <c:pt idx="47">
                  <c:v>47.3</c:v>
                </c:pt>
                <c:pt idx="48">
                  <c:v>26</c:v>
                </c:pt>
                <c:pt idx="50">
                  <c:v>36</c:v>
                </c:pt>
                <c:pt idx="56">
                  <c:v>2</c:v>
                </c:pt>
                <c:pt idx="61">
                  <c:v>30</c:v>
                </c:pt>
                <c:pt idx="62">
                  <c:v>15</c:v>
                </c:pt>
                <c:pt idx="63">
                  <c:v>7</c:v>
                </c:pt>
                <c:pt idx="65">
                  <c:v>47</c:v>
                </c:pt>
                <c:pt idx="66">
                  <c:v>2</c:v>
                </c:pt>
                <c:pt idx="67">
                  <c:v>25</c:v>
                </c:pt>
                <c:pt idx="68">
                  <c:v>40</c:v>
                </c:pt>
                <c:pt idx="71">
                  <c:v>2</c:v>
                </c:pt>
                <c:pt idx="72">
                  <c:v>50</c:v>
                </c:pt>
                <c:pt idx="74">
                  <c:v>114</c:v>
                </c:pt>
                <c:pt idx="75">
                  <c:v>64</c:v>
                </c:pt>
                <c:pt idx="78">
                  <c:v>69</c:v>
                </c:pt>
                <c:pt idx="79">
                  <c:v>35</c:v>
                </c:pt>
                <c:pt idx="80">
                  <c:v>22</c:v>
                </c:pt>
                <c:pt idx="81">
                  <c:v>55</c:v>
                </c:pt>
                <c:pt idx="84">
                  <c:v>41</c:v>
                </c:pt>
                <c:pt idx="86">
                  <c:v>116</c:v>
                </c:pt>
                <c:pt idx="89">
                  <c:v>90</c:v>
                </c:pt>
                <c:pt idx="92">
                  <c:v>121.8</c:v>
                </c:pt>
                <c:pt idx="93">
                  <c:v>151</c:v>
                </c:pt>
                <c:pt idx="101">
                  <c:v>34.26</c:v>
                </c:pt>
                <c:pt idx="106">
                  <c:v>36.270000000000003</c:v>
                </c:pt>
                <c:pt idx="107">
                  <c:v>33.11</c:v>
                </c:pt>
                <c:pt idx="109">
                  <c:v>38.5</c:v>
                </c:pt>
                <c:pt idx="111">
                  <c:v>45.34</c:v>
                </c:pt>
                <c:pt idx="112">
                  <c:v>36.56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9EF-CA4A-A3D0-234753A21B6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puebla'!$AH$103:$AH$218</c:f>
              <c:numCache>
                <c:formatCode>General</c:formatCode>
                <c:ptCount val="116"/>
                <c:pt idx="4">
                  <c:v>63.78</c:v>
                </c:pt>
                <c:pt idx="7">
                  <c:v>77.709999999999994</c:v>
                </c:pt>
                <c:pt idx="8">
                  <c:v>76.510000000000005</c:v>
                </c:pt>
                <c:pt idx="11">
                  <c:v>52.41</c:v>
                </c:pt>
                <c:pt idx="12">
                  <c:v>59.63</c:v>
                </c:pt>
                <c:pt idx="14">
                  <c:v>20.010000000000002</c:v>
                </c:pt>
                <c:pt idx="16">
                  <c:v>19.3</c:v>
                </c:pt>
                <c:pt idx="17">
                  <c:v>21.8</c:v>
                </c:pt>
                <c:pt idx="18">
                  <c:v>10.87</c:v>
                </c:pt>
                <c:pt idx="20">
                  <c:v>62</c:v>
                </c:pt>
                <c:pt idx="21">
                  <c:v>65.91</c:v>
                </c:pt>
                <c:pt idx="22">
                  <c:v>20.71</c:v>
                </c:pt>
                <c:pt idx="23">
                  <c:v>29.2</c:v>
                </c:pt>
                <c:pt idx="26">
                  <c:v>34.700000000000003</c:v>
                </c:pt>
                <c:pt idx="27">
                  <c:v>7.2</c:v>
                </c:pt>
                <c:pt idx="28">
                  <c:v>7.82</c:v>
                </c:pt>
                <c:pt idx="29">
                  <c:v>6.74</c:v>
                </c:pt>
                <c:pt idx="30">
                  <c:v>3.15</c:v>
                </c:pt>
                <c:pt idx="32">
                  <c:v>12.73</c:v>
                </c:pt>
                <c:pt idx="33">
                  <c:v>24.11</c:v>
                </c:pt>
                <c:pt idx="34">
                  <c:v>13.85</c:v>
                </c:pt>
                <c:pt idx="35">
                  <c:v>11.41</c:v>
                </c:pt>
                <c:pt idx="36">
                  <c:v>27.5</c:v>
                </c:pt>
                <c:pt idx="37">
                  <c:v>7.31</c:v>
                </c:pt>
                <c:pt idx="38">
                  <c:v>16.690000000000001</c:v>
                </c:pt>
                <c:pt idx="40">
                  <c:v>2.34</c:v>
                </c:pt>
                <c:pt idx="42">
                  <c:v>7.53</c:v>
                </c:pt>
                <c:pt idx="43">
                  <c:v>60</c:v>
                </c:pt>
                <c:pt idx="44">
                  <c:v>79.8</c:v>
                </c:pt>
                <c:pt idx="46">
                  <c:v>36.26</c:v>
                </c:pt>
                <c:pt idx="49">
                  <c:v>25.4</c:v>
                </c:pt>
                <c:pt idx="50">
                  <c:v>34.130000000000003</c:v>
                </c:pt>
                <c:pt idx="54">
                  <c:v>60.9</c:v>
                </c:pt>
                <c:pt idx="55">
                  <c:v>52.65</c:v>
                </c:pt>
                <c:pt idx="59">
                  <c:v>112.6</c:v>
                </c:pt>
                <c:pt idx="61">
                  <c:v>23.48</c:v>
                </c:pt>
                <c:pt idx="62">
                  <c:v>14.25</c:v>
                </c:pt>
                <c:pt idx="67">
                  <c:v>26.8</c:v>
                </c:pt>
                <c:pt idx="68">
                  <c:v>42.45</c:v>
                </c:pt>
                <c:pt idx="69">
                  <c:v>10.42</c:v>
                </c:pt>
                <c:pt idx="71">
                  <c:v>3.3</c:v>
                </c:pt>
                <c:pt idx="72">
                  <c:v>44.7</c:v>
                </c:pt>
                <c:pt idx="76">
                  <c:v>110</c:v>
                </c:pt>
                <c:pt idx="78">
                  <c:v>48</c:v>
                </c:pt>
                <c:pt idx="80">
                  <c:v>18.7</c:v>
                </c:pt>
                <c:pt idx="81">
                  <c:v>27.17</c:v>
                </c:pt>
                <c:pt idx="82">
                  <c:v>12</c:v>
                </c:pt>
                <c:pt idx="84">
                  <c:v>44.86</c:v>
                </c:pt>
                <c:pt idx="85">
                  <c:v>10</c:v>
                </c:pt>
                <c:pt idx="91">
                  <c:v>38.5</c:v>
                </c:pt>
                <c:pt idx="92">
                  <c:v>77.510000000000005</c:v>
                </c:pt>
                <c:pt idx="95">
                  <c:v>22.3</c:v>
                </c:pt>
                <c:pt idx="97">
                  <c:v>163.5</c:v>
                </c:pt>
                <c:pt idx="98">
                  <c:v>124.8</c:v>
                </c:pt>
                <c:pt idx="101">
                  <c:v>33.94</c:v>
                </c:pt>
                <c:pt idx="103">
                  <c:v>33</c:v>
                </c:pt>
                <c:pt idx="104">
                  <c:v>86.43</c:v>
                </c:pt>
                <c:pt idx="105">
                  <c:v>50.68</c:v>
                </c:pt>
                <c:pt idx="107">
                  <c:v>30.1</c:v>
                </c:pt>
                <c:pt idx="108">
                  <c:v>21.01</c:v>
                </c:pt>
                <c:pt idx="111">
                  <c:v>40.98</c:v>
                </c:pt>
                <c:pt idx="113">
                  <c:v>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9EF-CA4A-A3D0-234753A21B6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puebla'!$AI$103:$AI$218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1C-39EF-CA4A-A3D0-234753A21B6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puebla'!$AJ$103:$AJ$218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1D-39EF-CA4A-A3D0-234753A21B6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'med. piezo. puebla'!$AK$103:$AK$218</c:f>
              <c:numCache>
                <c:formatCode>General</c:formatCode>
                <c:ptCount val="116"/>
              </c:numCache>
            </c:numRef>
          </c:val>
          <c:extLst>
            <c:ext xmlns:c16="http://schemas.microsoft.com/office/drawing/2014/chart" uri="{C3380CC4-5D6E-409C-BE32-E72D297353CC}">
              <c16:uniqueId val="{0000001E-39EF-CA4A-A3D0-234753A21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2234560"/>
        <c:axId val="1172232768"/>
      </c:barChart>
      <c:catAx>
        <c:axId val="1172234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2232768"/>
        <c:crosses val="autoZero"/>
        <c:auto val="1"/>
        <c:lblAlgn val="ctr"/>
        <c:lblOffset val="100"/>
        <c:noMultiLvlLbl val="0"/>
      </c:catAx>
      <c:valAx>
        <c:axId val="117223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223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3.2259301732436879E-2"/>
          <c:y val="1.3800300716179322E-2"/>
          <c:w val="0.95215375233478183"/>
          <c:h val="0.944723618090452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'datos grace puebla'!$B$2</c:f>
              <c:strCache>
                <c:ptCount val="1"/>
                <c:pt idx="0">
                  <c:v>Water Equivalent Thickness – Land (GRACE, GRACE-FO JPL)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'datos grace puebla'!$A$3:$A$242</c:f>
              <c:strCache>
                <c:ptCount val="240"/>
                <c:pt idx="0">
                  <c:v>2002-04-17 12:00:00</c:v>
                </c:pt>
                <c:pt idx="1">
                  <c:v>2002-05-10 12:00:00</c:v>
                </c:pt>
                <c:pt idx="2">
                  <c:v>2002-08-16 12:00:00</c:v>
                </c:pt>
                <c:pt idx="3">
                  <c:v>2002-09-16 00:00:00</c:v>
                </c:pt>
                <c:pt idx="4">
                  <c:v>2002-10-16 12:00:00</c:v>
                </c:pt>
                <c:pt idx="5">
                  <c:v>2002-11-16 00:00:00</c:v>
                </c:pt>
                <c:pt idx="6">
                  <c:v>2002-12-16 12:00:00</c:v>
                </c:pt>
                <c:pt idx="7">
                  <c:v>2003-01-16 12:00:00</c:v>
                </c:pt>
                <c:pt idx="8">
                  <c:v>2003-02-15 00:00:00</c:v>
                </c:pt>
                <c:pt idx="9">
                  <c:v>2003-03-16 12:00:00</c:v>
                </c:pt>
                <c:pt idx="10">
                  <c:v>2003-04-16 00:00:00</c:v>
                </c:pt>
                <c:pt idx="11">
                  <c:v>2003-05-11 12:00:00</c:v>
                </c:pt>
                <c:pt idx="12">
                  <c:v>2003-07-16 12:00:00</c:v>
                </c:pt>
                <c:pt idx="13">
                  <c:v>2003-08-16 12:00:00</c:v>
                </c:pt>
                <c:pt idx="14">
                  <c:v>2003-09-16 00:00:00</c:v>
                </c:pt>
                <c:pt idx="15">
                  <c:v>2003-10-16 00:00:00</c:v>
                </c:pt>
                <c:pt idx="16">
                  <c:v>2003-11-16 00:00:00</c:v>
                </c:pt>
                <c:pt idx="17">
                  <c:v>2003-12-16 12:00:00</c:v>
                </c:pt>
                <c:pt idx="18">
                  <c:v>2004-01-07 12:00:00</c:v>
                </c:pt>
                <c:pt idx="19">
                  <c:v>2004-02-17 00:00:00</c:v>
                </c:pt>
                <c:pt idx="20">
                  <c:v>2004-03-16 12:00:00</c:v>
                </c:pt>
                <c:pt idx="21">
                  <c:v>2004-04-16 00:00:00</c:v>
                </c:pt>
                <c:pt idx="22">
                  <c:v>2004-05-16 12:00:00</c:v>
                </c:pt>
                <c:pt idx="23">
                  <c:v>2004-06-16 00:00:00</c:v>
                </c:pt>
                <c:pt idx="24">
                  <c:v>2004-07-16 12:00:00</c:v>
                </c:pt>
                <c:pt idx="25">
                  <c:v>2004-08-16 12:00:00</c:v>
                </c:pt>
                <c:pt idx="26">
                  <c:v>2004-09-16 00:00:00</c:v>
                </c:pt>
                <c:pt idx="27">
                  <c:v>2004-10-16 12:00:00</c:v>
                </c:pt>
                <c:pt idx="28">
                  <c:v>2004-11-16 00:00:00</c:v>
                </c:pt>
                <c:pt idx="29">
                  <c:v>2004-12-16 12:00:00</c:v>
                </c:pt>
                <c:pt idx="30">
                  <c:v>2005-01-16 12:00:00</c:v>
                </c:pt>
                <c:pt idx="31">
                  <c:v>2005-02-15 00:00:00</c:v>
                </c:pt>
                <c:pt idx="32">
                  <c:v>2005-03-16 12:00:00</c:v>
                </c:pt>
                <c:pt idx="33">
                  <c:v>2005-04-16 00:00:00</c:v>
                </c:pt>
                <c:pt idx="34">
                  <c:v>2005-05-16 12:00:00</c:v>
                </c:pt>
                <c:pt idx="35">
                  <c:v>2005-06-16 00:00:00</c:v>
                </c:pt>
                <c:pt idx="36">
                  <c:v>2005-07-16 12:00:00</c:v>
                </c:pt>
                <c:pt idx="37">
                  <c:v>2005-08-16 12:00:00</c:v>
                </c:pt>
                <c:pt idx="38">
                  <c:v>2005-09-16 00:00:00</c:v>
                </c:pt>
                <c:pt idx="39">
                  <c:v>2005-10-16 12:00:00</c:v>
                </c:pt>
                <c:pt idx="40">
                  <c:v>2005-11-16 00:00:00</c:v>
                </c:pt>
                <c:pt idx="41">
                  <c:v>2005-12-16 12:00:00</c:v>
                </c:pt>
                <c:pt idx="42">
                  <c:v>2006-01-16 12:00:00</c:v>
                </c:pt>
                <c:pt idx="43">
                  <c:v>2006-02-15 00:00:00</c:v>
                </c:pt>
                <c:pt idx="44">
                  <c:v>2006-03-16 12:00:00</c:v>
                </c:pt>
                <c:pt idx="45">
                  <c:v>2006-04-16 00:00:00</c:v>
                </c:pt>
                <c:pt idx="46">
                  <c:v>2006-05-16 12:00:00</c:v>
                </c:pt>
                <c:pt idx="47">
                  <c:v>2006-06-16 00:00:00</c:v>
                </c:pt>
                <c:pt idx="48">
                  <c:v>2006-07-16 12:00:00</c:v>
                </c:pt>
                <c:pt idx="49">
                  <c:v>2006-08-16 12:00:00</c:v>
                </c:pt>
                <c:pt idx="50">
                  <c:v>2006-09-16 00:00:00</c:v>
                </c:pt>
                <c:pt idx="51">
                  <c:v>2006-10-16 12:00:00</c:v>
                </c:pt>
                <c:pt idx="52">
                  <c:v>2006-11-16 00:00:00</c:v>
                </c:pt>
                <c:pt idx="53">
                  <c:v>2006-12-16 12:00:00</c:v>
                </c:pt>
                <c:pt idx="54">
                  <c:v>2007-01-16 12:00:00</c:v>
                </c:pt>
                <c:pt idx="55">
                  <c:v>2007-02-15 00:00:00</c:v>
                </c:pt>
                <c:pt idx="56">
                  <c:v>2007-03-16 12:00:00</c:v>
                </c:pt>
                <c:pt idx="57">
                  <c:v>2007-04-16 00:00:00</c:v>
                </c:pt>
                <c:pt idx="58">
                  <c:v>2007-05-16 12:00:00</c:v>
                </c:pt>
                <c:pt idx="59">
                  <c:v>2007-06-16 00:00:00</c:v>
                </c:pt>
                <c:pt idx="60">
                  <c:v>2007-07-16 12:00:00</c:v>
                </c:pt>
                <c:pt idx="61">
                  <c:v>2007-08-16 12:00:00</c:v>
                </c:pt>
                <c:pt idx="62">
                  <c:v>2007-09-16 00:00:00</c:v>
                </c:pt>
                <c:pt idx="63">
                  <c:v>2007-10-16 12:00:00</c:v>
                </c:pt>
                <c:pt idx="64">
                  <c:v>2007-11-16 00:00:00</c:v>
                </c:pt>
                <c:pt idx="65">
                  <c:v>2007-12-16 12:00:00</c:v>
                </c:pt>
                <c:pt idx="66">
                  <c:v>2008-01-16 12:00:00</c:v>
                </c:pt>
                <c:pt idx="67">
                  <c:v>2008-02-15 12:00:00</c:v>
                </c:pt>
                <c:pt idx="68">
                  <c:v>2008-03-16 12:00:00</c:v>
                </c:pt>
                <c:pt idx="69">
                  <c:v>2008-04-16 00:00:00</c:v>
                </c:pt>
                <c:pt idx="70">
                  <c:v>2008-05-16 12:00:00</c:v>
                </c:pt>
                <c:pt idx="71">
                  <c:v>2008-06-16 00:00:00</c:v>
                </c:pt>
                <c:pt idx="72">
                  <c:v>2008-07-16 12:00:00</c:v>
                </c:pt>
                <c:pt idx="73">
                  <c:v>2008-08-16 12:00:00</c:v>
                </c:pt>
                <c:pt idx="74">
                  <c:v>2008-09-16 00:00:00</c:v>
                </c:pt>
                <c:pt idx="75">
                  <c:v>2008-10-16 12:00:00</c:v>
                </c:pt>
                <c:pt idx="76">
                  <c:v>2008-11-16 00:00:00</c:v>
                </c:pt>
                <c:pt idx="77">
                  <c:v>2008-12-16 12:00:00</c:v>
                </c:pt>
                <c:pt idx="78">
                  <c:v>2009-01-16 12:00:00</c:v>
                </c:pt>
                <c:pt idx="79">
                  <c:v>2009-02-15 00:00:00</c:v>
                </c:pt>
                <c:pt idx="80">
                  <c:v>2009-03-16 12:00:00</c:v>
                </c:pt>
                <c:pt idx="81">
                  <c:v>2009-04-16 00:00:00</c:v>
                </c:pt>
                <c:pt idx="82">
                  <c:v>2009-05-16 12:00:00</c:v>
                </c:pt>
                <c:pt idx="83">
                  <c:v>2009-06-16 00:00:00</c:v>
                </c:pt>
                <c:pt idx="84">
                  <c:v>2009-07-16 12:00:00</c:v>
                </c:pt>
                <c:pt idx="85">
                  <c:v>2009-08-16 12:00:00</c:v>
                </c:pt>
                <c:pt idx="86">
                  <c:v>2009-09-16 00:00:00</c:v>
                </c:pt>
                <c:pt idx="87">
                  <c:v>2009-10-16 12:00:00</c:v>
                </c:pt>
                <c:pt idx="88">
                  <c:v>2009-11-16 00:00:00</c:v>
                </c:pt>
                <c:pt idx="89">
                  <c:v>2009-12-16 12:00:00</c:v>
                </c:pt>
                <c:pt idx="90">
                  <c:v>2010-01-16 12:00:00</c:v>
                </c:pt>
                <c:pt idx="91">
                  <c:v>2010-02-15 00:00:00</c:v>
                </c:pt>
                <c:pt idx="92">
                  <c:v>2010-03-16 12:00:00</c:v>
                </c:pt>
                <c:pt idx="93">
                  <c:v>2010-04-16 00:00:00</c:v>
                </c:pt>
                <c:pt idx="94">
                  <c:v>2010-05-16 12:00:00</c:v>
                </c:pt>
                <c:pt idx="95">
                  <c:v>2010-06-16 00:00:00</c:v>
                </c:pt>
                <c:pt idx="96">
                  <c:v>2010-07-16 12:00:00</c:v>
                </c:pt>
                <c:pt idx="97">
                  <c:v>2010-08-16 12:00:00</c:v>
                </c:pt>
                <c:pt idx="98">
                  <c:v>2010-09-16 00:00:00</c:v>
                </c:pt>
                <c:pt idx="99">
                  <c:v>2010-10-16 12:00:00</c:v>
                </c:pt>
                <c:pt idx="100">
                  <c:v>2010-11-16 00:00:00</c:v>
                </c:pt>
                <c:pt idx="101">
                  <c:v>2010-12-14 12:00:00</c:v>
                </c:pt>
                <c:pt idx="102">
                  <c:v>2011-02-18 12:00:00</c:v>
                </c:pt>
                <c:pt idx="103">
                  <c:v>2011-03-16 12:00:00</c:v>
                </c:pt>
                <c:pt idx="104">
                  <c:v>2011-04-16 00:00:00</c:v>
                </c:pt>
                <c:pt idx="105">
                  <c:v>2011-05-16 12:00:00</c:v>
                </c:pt>
                <c:pt idx="106">
                  <c:v>2011-07-18 12:00:00</c:v>
                </c:pt>
                <c:pt idx="107">
                  <c:v>2011-08-16 12:00:00</c:v>
                </c:pt>
                <c:pt idx="108">
                  <c:v>2011-09-16 00:00:00</c:v>
                </c:pt>
                <c:pt idx="109">
                  <c:v>2011-10-16 12:00:00</c:v>
                </c:pt>
                <c:pt idx="110">
                  <c:v>2011-11-01 12:00:00</c:v>
                </c:pt>
                <c:pt idx="111">
                  <c:v>2012-01-01 00:00:00</c:v>
                </c:pt>
                <c:pt idx="112">
                  <c:v>2012-01-16 12:00:00</c:v>
                </c:pt>
                <c:pt idx="113">
                  <c:v>2012-02-15 12:00:00</c:v>
                </c:pt>
                <c:pt idx="114">
                  <c:v>2012-03-16 12:00:00</c:v>
                </c:pt>
                <c:pt idx="115">
                  <c:v>2012-04-04 12:00:00</c:v>
                </c:pt>
                <c:pt idx="116">
                  <c:v>2012-06-16 00:00:00</c:v>
                </c:pt>
                <c:pt idx="117">
                  <c:v>2012-07-16 12:00:00</c:v>
                </c:pt>
                <c:pt idx="118">
                  <c:v>2012-08-16 12:00:00</c:v>
                </c:pt>
                <c:pt idx="119">
                  <c:v>2012-09-13 00:00:00</c:v>
                </c:pt>
                <c:pt idx="120">
                  <c:v>2012-11-18 12:00:00</c:v>
                </c:pt>
                <c:pt idx="121">
                  <c:v>2012-12-16 12:00:00</c:v>
                </c:pt>
                <c:pt idx="122">
                  <c:v>2013-01-16 12:00:00</c:v>
                </c:pt>
                <c:pt idx="123">
                  <c:v>2013-02-14 00:00:00</c:v>
                </c:pt>
                <c:pt idx="124">
                  <c:v>2013-04-21 00:00:00</c:v>
                </c:pt>
                <c:pt idx="125">
                  <c:v>2013-05-16 12:00:00</c:v>
                </c:pt>
                <c:pt idx="126">
                  <c:v>2013-06-16 00:00:00</c:v>
                </c:pt>
                <c:pt idx="127">
                  <c:v>2013-07-16 12:00:00</c:v>
                </c:pt>
                <c:pt idx="128">
                  <c:v>2013-10-16 12:00:00</c:v>
                </c:pt>
                <c:pt idx="129">
                  <c:v>2013-11-16 00:00:00</c:v>
                </c:pt>
                <c:pt idx="130">
                  <c:v>2013-12-16 12:00:00</c:v>
                </c:pt>
                <c:pt idx="131">
                  <c:v>2014-01-09 12:00:00</c:v>
                </c:pt>
                <c:pt idx="132">
                  <c:v>2014-03-16 12:00:00</c:v>
                </c:pt>
                <c:pt idx="133">
                  <c:v>2014-04-16 00:00:00</c:v>
                </c:pt>
                <c:pt idx="134">
                  <c:v>2014-05-16 12:00:00</c:v>
                </c:pt>
                <c:pt idx="135">
                  <c:v>2014-06-13 00:00:00</c:v>
                </c:pt>
                <c:pt idx="136">
                  <c:v>2014-08-16 12:00:00</c:v>
                </c:pt>
                <c:pt idx="137">
                  <c:v>2014-09-16 00:00:00</c:v>
                </c:pt>
                <c:pt idx="138">
                  <c:v>2014-10-16 12:00:00</c:v>
                </c:pt>
                <c:pt idx="139">
                  <c:v>2014-11-17 00:00:00</c:v>
                </c:pt>
                <c:pt idx="140">
                  <c:v>2015-01-22 12:00:00</c:v>
                </c:pt>
                <c:pt idx="141">
                  <c:v>2015-02-15 00:00:00</c:v>
                </c:pt>
                <c:pt idx="142">
                  <c:v>2015-03-16 12:00:00</c:v>
                </c:pt>
                <c:pt idx="143">
                  <c:v>2015-04-16 00:00:00</c:v>
                </c:pt>
                <c:pt idx="144">
                  <c:v>2015-04-27 00:00:00</c:v>
                </c:pt>
                <c:pt idx="145">
                  <c:v>2015-07-15 12:00:00</c:v>
                </c:pt>
                <c:pt idx="146">
                  <c:v>2015-08-16 12:00:00</c:v>
                </c:pt>
                <c:pt idx="147">
                  <c:v>2015-09-14 12:00:00</c:v>
                </c:pt>
                <c:pt idx="148">
                  <c:v>2015-12-23 12:00:00</c:v>
                </c:pt>
                <c:pt idx="149">
                  <c:v>2016-01-16 12:00:00</c:v>
                </c:pt>
                <c:pt idx="150">
                  <c:v>2016-02-14 00:00:00</c:v>
                </c:pt>
                <c:pt idx="151">
                  <c:v>2016-03-16 12:00:00</c:v>
                </c:pt>
                <c:pt idx="152">
                  <c:v>2016-05-20 00:00:00</c:v>
                </c:pt>
                <c:pt idx="153">
                  <c:v>2016-06-16 00:00:00</c:v>
                </c:pt>
                <c:pt idx="154">
                  <c:v>2016-07-15 12:00:00</c:v>
                </c:pt>
                <c:pt idx="155">
                  <c:v>2016-08-21 12:00:00</c:v>
                </c:pt>
                <c:pt idx="156">
                  <c:v>2016-11-27 12:00:00</c:v>
                </c:pt>
                <c:pt idx="157">
                  <c:v>2016-12-24 12:00:00</c:v>
                </c:pt>
                <c:pt idx="158">
                  <c:v>2017-01-21 00:00:00</c:v>
                </c:pt>
                <c:pt idx="159">
                  <c:v>2017-03-31 12:00:00</c:v>
                </c:pt>
                <c:pt idx="160">
                  <c:v>2017-04-24 12:00:00</c:v>
                </c:pt>
                <c:pt idx="161">
                  <c:v>2017-05-12 12:00:00</c:v>
                </c:pt>
                <c:pt idx="162">
                  <c:v>2017-06-11 00:00:00</c:v>
                </c:pt>
                <c:pt idx="163">
                  <c:v>2018-06-16 00:00:00</c:v>
                </c:pt>
                <c:pt idx="164">
                  <c:v>2018-07-10 00:00:00</c:v>
                </c:pt>
                <c:pt idx="165">
                  <c:v>2018-10-31 12:00:00</c:v>
                </c:pt>
                <c:pt idx="166">
                  <c:v>2018-11-16 00:00:00</c:v>
                </c:pt>
                <c:pt idx="167">
                  <c:v>2018-12-16 12:00:00</c:v>
                </c:pt>
                <c:pt idx="168">
                  <c:v>2019-01-16 12:00:00</c:v>
                </c:pt>
                <c:pt idx="169">
                  <c:v>2019-02-14 00:00:00</c:v>
                </c:pt>
                <c:pt idx="170">
                  <c:v>2019-03-16 12:00:00</c:v>
                </c:pt>
                <c:pt idx="171">
                  <c:v>2019-04-16 00:00:00</c:v>
                </c:pt>
                <c:pt idx="172">
                  <c:v>2019-05-16 12:00:00</c:v>
                </c:pt>
                <c:pt idx="173">
                  <c:v>2019-06-16 00:00:00</c:v>
                </c:pt>
                <c:pt idx="174">
                  <c:v>2019-07-16 12:00:00</c:v>
                </c:pt>
                <c:pt idx="175">
                  <c:v>2019-08-16 12:00:00</c:v>
                </c:pt>
                <c:pt idx="176">
                  <c:v>2019-09-16 00:00:00</c:v>
                </c:pt>
                <c:pt idx="177">
                  <c:v>2019-10-16 12:00:00</c:v>
                </c:pt>
                <c:pt idx="178">
                  <c:v>2019-11-16 00:00:00</c:v>
                </c:pt>
                <c:pt idx="179">
                  <c:v>2019-12-16 12:00:00</c:v>
                </c:pt>
                <c:pt idx="180">
                  <c:v>2020-01-16 12:00:00</c:v>
                </c:pt>
                <c:pt idx="181">
                  <c:v>2020-02-15 12:00:00</c:v>
                </c:pt>
                <c:pt idx="182">
                  <c:v>2020-03-16 12:00:00</c:v>
                </c:pt>
                <c:pt idx="183">
                  <c:v>2020-04-16 00:00:00</c:v>
                </c:pt>
                <c:pt idx="184">
                  <c:v>2020-05-16 12:00:00</c:v>
                </c:pt>
                <c:pt idx="185">
                  <c:v>2020-06-16 00:00:00</c:v>
                </c:pt>
                <c:pt idx="186">
                  <c:v>2020-07-16 12:00:00</c:v>
                </c:pt>
                <c:pt idx="187">
                  <c:v>2020-08-16 12:00:00</c:v>
                </c:pt>
                <c:pt idx="188">
                  <c:v>2020-09-16 00:00:00</c:v>
                </c:pt>
                <c:pt idx="189">
                  <c:v>2020-10-16 12:00:00</c:v>
                </c:pt>
                <c:pt idx="190">
                  <c:v>2020-11-16 00:00:00</c:v>
                </c:pt>
                <c:pt idx="191">
                  <c:v>2020-12-16 12:00:00</c:v>
                </c:pt>
                <c:pt idx="192">
                  <c:v>2021-01-16 12:00:00</c:v>
                </c:pt>
                <c:pt idx="193">
                  <c:v>2021-02-15 00:00:00</c:v>
                </c:pt>
                <c:pt idx="194">
                  <c:v>2021-03-16 12:00:00</c:v>
                </c:pt>
                <c:pt idx="195">
                  <c:v>2021-04-16 00:00:00</c:v>
                </c:pt>
                <c:pt idx="196">
                  <c:v>2021-05-16 12:00:00</c:v>
                </c:pt>
                <c:pt idx="197">
                  <c:v>2021-06-16 00:00:00</c:v>
                </c:pt>
                <c:pt idx="198">
                  <c:v>2021-07-16 12:00:00</c:v>
                </c:pt>
                <c:pt idx="199">
                  <c:v>2021-08-16 12:00:00</c:v>
                </c:pt>
                <c:pt idx="200">
                  <c:v>2021-09-16 00:00:00</c:v>
                </c:pt>
                <c:pt idx="201">
                  <c:v>2021-10-16 12:00:00</c:v>
                </c:pt>
                <c:pt idx="202">
                  <c:v>2021-11-16 00:00:00</c:v>
                </c:pt>
                <c:pt idx="203">
                  <c:v>2021-12-16 12:00:00</c:v>
                </c:pt>
                <c:pt idx="204">
                  <c:v>2022-01-16 12:00:00</c:v>
                </c:pt>
                <c:pt idx="205">
                  <c:v>2022-02-15 00:00:00</c:v>
                </c:pt>
                <c:pt idx="206">
                  <c:v>2022-03-16 12:00:00</c:v>
                </c:pt>
                <c:pt idx="207">
                  <c:v>2022-04-16 00:00:00</c:v>
                </c:pt>
                <c:pt idx="208">
                  <c:v>2022-05-16 12:00:00</c:v>
                </c:pt>
                <c:pt idx="209">
                  <c:v>2022-06-16 00:00:00</c:v>
                </c:pt>
                <c:pt idx="210">
                  <c:v>2022-07-16 12:00:00</c:v>
                </c:pt>
                <c:pt idx="211">
                  <c:v>2022-08-16 12:00:00</c:v>
                </c:pt>
                <c:pt idx="212">
                  <c:v>2022-09-16 00:00:00</c:v>
                </c:pt>
                <c:pt idx="213">
                  <c:v>2022-10-16 12:00:00</c:v>
                </c:pt>
                <c:pt idx="214">
                  <c:v>2022-11-16 00:00:00</c:v>
                </c:pt>
                <c:pt idx="215">
                  <c:v>2022-12-16 12:00:00</c:v>
                </c:pt>
                <c:pt idx="216">
                  <c:v>2023-01-16 12:00:00</c:v>
                </c:pt>
                <c:pt idx="217">
                  <c:v>2023-02-15 00:00:00</c:v>
                </c:pt>
                <c:pt idx="218">
                  <c:v>2023-03-16 12:00:00</c:v>
                </c:pt>
                <c:pt idx="219">
                  <c:v>2023-04-16 00:00:00</c:v>
                </c:pt>
                <c:pt idx="220">
                  <c:v>2023-05-16 12:00:00</c:v>
                </c:pt>
                <c:pt idx="221">
                  <c:v>2023-06-16 00:00:00</c:v>
                </c:pt>
                <c:pt idx="222">
                  <c:v>2023-07-16 12:00:00</c:v>
                </c:pt>
                <c:pt idx="223">
                  <c:v>2023-08-16 12:00:00</c:v>
                </c:pt>
                <c:pt idx="224">
                  <c:v>2023-09-16 00:00:00</c:v>
                </c:pt>
                <c:pt idx="225">
                  <c:v>2023-10-16 12:00:00</c:v>
                </c:pt>
                <c:pt idx="226">
                  <c:v>2023-11-16 00:00:00</c:v>
                </c:pt>
                <c:pt idx="227">
                  <c:v>2023-12-16 12:00:00</c:v>
                </c:pt>
                <c:pt idx="228">
                  <c:v>2024-01-16 12:00:00</c:v>
                </c:pt>
                <c:pt idx="229">
                  <c:v>2024-02-15 12:00:00</c:v>
                </c:pt>
                <c:pt idx="230">
                  <c:v>2024-03-16 12:00:00</c:v>
                </c:pt>
                <c:pt idx="231">
                  <c:v>2024-04-16 00:00:00</c:v>
                </c:pt>
                <c:pt idx="232">
                  <c:v>2024-05-16 12:00:00</c:v>
                </c:pt>
                <c:pt idx="233">
                  <c:v>2024-06-16 00:00:00</c:v>
                </c:pt>
                <c:pt idx="234">
                  <c:v>2024-07-16 12:00:00</c:v>
                </c:pt>
                <c:pt idx="235">
                  <c:v>2024-08-16 12:00:00</c:v>
                </c:pt>
                <c:pt idx="236">
                  <c:v>2024-09-16 00:00:00</c:v>
                </c:pt>
                <c:pt idx="237">
                  <c:v>2024-10-16 12:00:00</c:v>
                </c:pt>
                <c:pt idx="238">
                  <c:v>2024-11-16 00:00:00</c:v>
                </c:pt>
                <c:pt idx="239">
                  <c:v>2024-12-16 12:00:00</c:v>
                </c:pt>
              </c:strCache>
            </c:strRef>
          </c:cat>
          <c:val>
            <c:numRef>
              <c:f>'datos grace puebla'!$B$3:$B$242</c:f>
              <c:numCache>
                <c:formatCode>0.00</c:formatCode>
                <c:ptCount val="240"/>
                <c:pt idx="0">
                  <c:v>-11.8944489272511</c:v>
                </c:pt>
                <c:pt idx="1">
                  <c:v>-15.399317401108799</c:v>
                </c:pt>
                <c:pt idx="2">
                  <c:v>1.0798434399799099</c:v>
                </c:pt>
                <c:pt idx="3">
                  <c:v>14.4724057199232</c:v>
                </c:pt>
                <c:pt idx="4">
                  <c:v>19.007429977299999</c:v>
                </c:pt>
                <c:pt idx="5">
                  <c:v>16.235068784447801</c:v>
                </c:pt>
                <c:pt idx="6">
                  <c:v>10.9042083782874</c:v>
                </c:pt>
                <c:pt idx="7">
                  <c:v>7.2877647666060099</c:v>
                </c:pt>
                <c:pt idx="8">
                  <c:v>-2.7430210617571298</c:v>
                </c:pt>
                <c:pt idx="9">
                  <c:v>-8.6739991387552795</c:v>
                </c:pt>
                <c:pt idx="10">
                  <c:v>-15.758955432680899</c:v>
                </c:pt>
                <c:pt idx="11">
                  <c:v>-20.014076814634201</c:v>
                </c:pt>
                <c:pt idx="12">
                  <c:v>4.0164043826549003</c:v>
                </c:pt>
                <c:pt idx="13">
                  <c:v>10.8415119772576</c:v>
                </c:pt>
                <c:pt idx="14">
                  <c:v>16.663091070371099</c:v>
                </c:pt>
                <c:pt idx="15">
                  <c:v>23.91724170314</c:v>
                </c:pt>
                <c:pt idx="16">
                  <c:v>21.3430874043875</c:v>
                </c:pt>
                <c:pt idx="17">
                  <c:v>11.042636979723699</c:v>
                </c:pt>
                <c:pt idx="18">
                  <c:v>8.3038450650670299</c:v>
                </c:pt>
                <c:pt idx="19">
                  <c:v>0.59408571629642704</c:v>
                </c:pt>
                <c:pt idx="20">
                  <c:v>-5.9103054186529702</c:v>
                </c:pt>
                <c:pt idx="21">
                  <c:v>-9.7857981777019099</c:v>
                </c:pt>
                <c:pt idx="22">
                  <c:v>-12.526884856281301</c:v>
                </c:pt>
                <c:pt idx="23">
                  <c:v>-1.2844791599749801</c:v>
                </c:pt>
                <c:pt idx="24">
                  <c:v>5.2926968141724098</c:v>
                </c:pt>
                <c:pt idx="25">
                  <c:v>7.6894514671326304</c:v>
                </c:pt>
                <c:pt idx="26">
                  <c:v>12.875836285183601</c:v>
                </c:pt>
                <c:pt idx="27">
                  <c:v>20.3891989247672</c:v>
                </c:pt>
                <c:pt idx="28">
                  <c:v>14.590001472624399</c:v>
                </c:pt>
                <c:pt idx="29">
                  <c:v>8.2367682218351099</c:v>
                </c:pt>
                <c:pt idx="30">
                  <c:v>2.0561591625478699</c:v>
                </c:pt>
                <c:pt idx="31">
                  <c:v>-3.97216825803884</c:v>
                </c:pt>
                <c:pt idx="32">
                  <c:v>-10.412027327922599</c:v>
                </c:pt>
                <c:pt idx="33">
                  <c:v>-11.724331241679799</c:v>
                </c:pt>
                <c:pt idx="34">
                  <c:v>-19.1976582525498</c:v>
                </c:pt>
                <c:pt idx="35">
                  <c:v>-19.288237743658499</c:v>
                </c:pt>
                <c:pt idx="36">
                  <c:v>-1.53984442504265</c:v>
                </c:pt>
                <c:pt idx="37">
                  <c:v>6.4523865476981399</c:v>
                </c:pt>
                <c:pt idx="38">
                  <c:v>13.8431722702258</c:v>
                </c:pt>
                <c:pt idx="39">
                  <c:v>17.243346338512801</c:v>
                </c:pt>
                <c:pt idx="40">
                  <c:v>10.6707625010781</c:v>
                </c:pt>
                <c:pt idx="41">
                  <c:v>3.3589345808173201</c:v>
                </c:pt>
                <c:pt idx="42">
                  <c:v>-4.6996428664974097</c:v>
                </c:pt>
                <c:pt idx="43">
                  <c:v>-10.346920228210699</c:v>
                </c:pt>
                <c:pt idx="44">
                  <c:v>-11.9867257090485</c:v>
                </c:pt>
                <c:pt idx="45">
                  <c:v>-17.538450280783199</c:v>
                </c:pt>
                <c:pt idx="46">
                  <c:v>-17.958793920112299</c:v>
                </c:pt>
                <c:pt idx="47">
                  <c:v>-12.6345806705034</c:v>
                </c:pt>
                <c:pt idx="48">
                  <c:v>-2.7370351395770198</c:v>
                </c:pt>
                <c:pt idx="49">
                  <c:v>8.1890544280209294</c:v>
                </c:pt>
                <c:pt idx="50">
                  <c:v>11.098466565253601</c:v>
                </c:pt>
                <c:pt idx="51">
                  <c:v>15.8707243161075</c:v>
                </c:pt>
                <c:pt idx="52">
                  <c:v>16.660304346474302</c:v>
                </c:pt>
                <c:pt idx="53">
                  <c:v>13.7368263000421</c:v>
                </c:pt>
                <c:pt idx="54">
                  <c:v>6.8731892200917599</c:v>
                </c:pt>
                <c:pt idx="55">
                  <c:v>-2.1429225347205301</c:v>
                </c:pt>
                <c:pt idx="56">
                  <c:v>-6.5094018304921004</c:v>
                </c:pt>
                <c:pt idx="57">
                  <c:v>-13.2875953396982</c:v>
                </c:pt>
                <c:pt idx="58">
                  <c:v>-14.759399399740101</c:v>
                </c:pt>
                <c:pt idx="59">
                  <c:v>-12.391791953352699</c:v>
                </c:pt>
                <c:pt idx="60">
                  <c:v>-6.2690367555446196</c:v>
                </c:pt>
                <c:pt idx="61">
                  <c:v>0.400401051275872</c:v>
                </c:pt>
                <c:pt idx="62">
                  <c:v>18.305674963983201</c:v>
                </c:pt>
                <c:pt idx="63">
                  <c:v>19.696853007542401</c:v>
                </c:pt>
                <c:pt idx="64">
                  <c:v>10.723504606055499</c:v>
                </c:pt>
                <c:pt idx="65">
                  <c:v>4.7423318728138399</c:v>
                </c:pt>
                <c:pt idx="66">
                  <c:v>1.8505284616290301</c:v>
                </c:pt>
                <c:pt idx="67">
                  <c:v>-7.0347588757253501</c:v>
                </c:pt>
                <c:pt idx="68">
                  <c:v>-11.221964702588901</c:v>
                </c:pt>
                <c:pt idx="69">
                  <c:v>-17.9089796269513</c:v>
                </c:pt>
                <c:pt idx="70">
                  <c:v>-19.034546325562001</c:v>
                </c:pt>
                <c:pt idx="71">
                  <c:v>-12.9169521281696</c:v>
                </c:pt>
                <c:pt idx="72">
                  <c:v>6.5371237251707104</c:v>
                </c:pt>
                <c:pt idx="73">
                  <c:v>9.8542658634283296</c:v>
                </c:pt>
                <c:pt idx="74">
                  <c:v>17.9735650526159</c:v>
                </c:pt>
                <c:pt idx="75">
                  <c:v>22.860814667659302</c:v>
                </c:pt>
                <c:pt idx="76">
                  <c:v>13.511168591099301</c:v>
                </c:pt>
                <c:pt idx="77">
                  <c:v>4.06905048305957</c:v>
                </c:pt>
                <c:pt idx="78">
                  <c:v>0.49166406772888399</c:v>
                </c:pt>
                <c:pt idx="79">
                  <c:v>-3.6445049863509098</c:v>
                </c:pt>
                <c:pt idx="80">
                  <c:v>-10.9961584085799</c:v>
                </c:pt>
                <c:pt idx="81">
                  <c:v>-14.6269091392136</c:v>
                </c:pt>
                <c:pt idx="82">
                  <c:v>-17.4358210569448</c:v>
                </c:pt>
                <c:pt idx="83">
                  <c:v>-11.1352126455134</c:v>
                </c:pt>
                <c:pt idx="84">
                  <c:v>-4.0203102581403396</c:v>
                </c:pt>
                <c:pt idx="85">
                  <c:v>-5.2464659694782698</c:v>
                </c:pt>
                <c:pt idx="86">
                  <c:v>5.2394456077632201</c:v>
                </c:pt>
                <c:pt idx="87">
                  <c:v>12.510355286652601</c:v>
                </c:pt>
                <c:pt idx="88">
                  <c:v>7.5883758593150104</c:v>
                </c:pt>
                <c:pt idx="89">
                  <c:v>3.7462819012612698</c:v>
                </c:pt>
                <c:pt idx="90">
                  <c:v>-1.3749033567696101</c:v>
                </c:pt>
                <c:pt idx="91">
                  <c:v>4.3015209565669901</c:v>
                </c:pt>
                <c:pt idx="92">
                  <c:v>-4.2620934426344598E-2</c:v>
                </c:pt>
                <c:pt idx="93">
                  <c:v>-6.03011345548697</c:v>
                </c:pt>
                <c:pt idx="94">
                  <c:v>-16.661020959374898</c:v>
                </c:pt>
                <c:pt idx="95">
                  <c:v>-13.309627799896001</c:v>
                </c:pt>
                <c:pt idx="96">
                  <c:v>0.156031950263746</c:v>
                </c:pt>
                <c:pt idx="97">
                  <c:v>18.730560877712801</c:v>
                </c:pt>
                <c:pt idx="98">
                  <c:v>30.324440787898801</c:v>
                </c:pt>
                <c:pt idx="99">
                  <c:v>24.909859951006599</c:v>
                </c:pt>
                <c:pt idx="100">
                  <c:v>13.680993710997001</c:v>
                </c:pt>
                <c:pt idx="101">
                  <c:v>8.5577950844340602</c:v>
                </c:pt>
                <c:pt idx="102">
                  <c:v>-3.68393173033513</c:v>
                </c:pt>
                <c:pt idx="103">
                  <c:v>-8.8371090354598394</c:v>
                </c:pt>
                <c:pt idx="104">
                  <c:v>-13.7864056291259</c:v>
                </c:pt>
                <c:pt idx="105">
                  <c:v>-16.777421726492701</c:v>
                </c:pt>
                <c:pt idx="106">
                  <c:v>11.1554859172352</c:v>
                </c:pt>
                <c:pt idx="107">
                  <c:v>15.517464860694901</c:v>
                </c:pt>
                <c:pt idx="108">
                  <c:v>21.2161672519319</c:v>
                </c:pt>
                <c:pt idx="109">
                  <c:v>21.0419872211091</c:v>
                </c:pt>
                <c:pt idx="110">
                  <c:v>17.971421615573</c:v>
                </c:pt>
                <c:pt idx="111">
                  <c:v>5.2280223645534996</c:v>
                </c:pt>
                <c:pt idx="112">
                  <c:v>2.14636482185192</c:v>
                </c:pt>
                <c:pt idx="113">
                  <c:v>-3.2019408621094398</c:v>
                </c:pt>
                <c:pt idx="114">
                  <c:v>-10.742952606288201</c:v>
                </c:pt>
                <c:pt idx="115">
                  <c:v>-12.0897101486302</c:v>
                </c:pt>
                <c:pt idx="116">
                  <c:v>-10.6558208508617</c:v>
                </c:pt>
                <c:pt idx="117">
                  <c:v>2.5380692138747198</c:v>
                </c:pt>
                <c:pt idx="118">
                  <c:v>14.280266597288101</c:v>
                </c:pt>
                <c:pt idx="119">
                  <c:v>14.6212411833726</c:v>
                </c:pt>
                <c:pt idx="120">
                  <c:v>7.9696879274011296</c:v>
                </c:pt>
                <c:pt idx="121">
                  <c:v>5.4573275552862004</c:v>
                </c:pt>
                <c:pt idx="122">
                  <c:v>-2.56787308083989</c:v>
                </c:pt>
                <c:pt idx="123">
                  <c:v>-8.7483933983571092</c:v>
                </c:pt>
                <c:pt idx="124">
                  <c:v>-17.919278471378099</c:v>
                </c:pt>
                <c:pt idx="125">
                  <c:v>-20.477049060744701</c:v>
                </c:pt>
                <c:pt idx="126">
                  <c:v>-14.8890765203363</c:v>
                </c:pt>
                <c:pt idx="127">
                  <c:v>-3.0671984568438702</c:v>
                </c:pt>
                <c:pt idx="128">
                  <c:v>22.363127219843101</c:v>
                </c:pt>
                <c:pt idx="129">
                  <c:v>18.437701073827601</c:v>
                </c:pt>
                <c:pt idx="130">
                  <c:v>10.3587925903298</c:v>
                </c:pt>
                <c:pt idx="131">
                  <c:v>9.8800372633882496</c:v>
                </c:pt>
                <c:pt idx="132">
                  <c:v>-11.9879792245305</c:v>
                </c:pt>
                <c:pt idx="133">
                  <c:v>-10.781183787269001</c:v>
                </c:pt>
                <c:pt idx="134">
                  <c:v>-12.9983907757527</c:v>
                </c:pt>
                <c:pt idx="135">
                  <c:v>-2.7237136779553501</c:v>
                </c:pt>
                <c:pt idx="136">
                  <c:v>9.0719473970853404</c:v>
                </c:pt>
                <c:pt idx="137">
                  <c:v>16.718441930951901</c:v>
                </c:pt>
                <c:pt idx="138">
                  <c:v>20.754624492841199</c:v>
                </c:pt>
                <c:pt idx="139">
                  <c:v>14.7765221161567</c:v>
                </c:pt>
                <c:pt idx="140">
                  <c:v>3.0287185871889499</c:v>
                </c:pt>
                <c:pt idx="141">
                  <c:v>-6.2482347149602404</c:v>
                </c:pt>
                <c:pt idx="142">
                  <c:v>-0.76588880980529594</c:v>
                </c:pt>
                <c:pt idx="143">
                  <c:v>-10.08912597282</c:v>
                </c:pt>
                <c:pt idx="144">
                  <c:v>-13.3027566081113</c:v>
                </c:pt>
                <c:pt idx="145">
                  <c:v>0.58182638406611198</c:v>
                </c:pt>
                <c:pt idx="146">
                  <c:v>-5.6470148159391496</c:v>
                </c:pt>
                <c:pt idx="147">
                  <c:v>1.56952213123764</c:v>
                </c:pt>
                <c:pt idx="148">
                  <c:v>6.4629169370778499</c:v>
                </c:pt>
                <c:pt idx="149">
                  <c:v>-0.64588293537639796</c:v>
                </c:pt>
                <c:pt idx="150">
                  <c:v>-11.3202194260633</c:v>
                </c:pt>
                <c:pt idx="151">
                  <c:v>-10.118954869566</c:v>
                </c:pt>
                <c:pt idx="152">
                  <c:v>-21.33451508416</c:v>
                </c:pt>
                <c:pt idx="153">
                  <c:v>-14.8302487159348</c:v>
                </c:pt>
                <c:pt idx="154">
                  <c:v>-7.7696021773121497</c:v>
                </c:pt>
                <c:pt idx="155">
                  <c:v>1.6668197710565</c:v>
                </c:pt>
                <c:pt idx="156">
                  <c:v>2.3625828861145699</c:v>
                </c:pt>
                <c:pt idx="157">
                  <c:v>1.0095034077563001</c:v>
                </c:pt>
                <c:pt idx="158">
                  <c:v>-4.4611399486861396</c:v>
                </c:pt>
                <c:pt idx="159">
                  <c:v>-14.702708440480301</c:v>
                </c:pt>
                <c:pt idx="160">
                  <c:v>-16.457579615173401</c:v>
                </c:pt>
                <c:pt idx="161">
                  <c:v>-21.838005371970599</c:v>
                </c:pt>
                <c:pt idx="162">
                  <c:v>-21.281045523119602</c:v>
                </c:pt>
                <c:pt idx="163">
                  <c:v>-12.0098712636358</c:v>
                </c:pt>
                <c:pt idx="164">
                  <c:v>-4.0854123687572104</c:v>
                </c:pt>
                <c:pt idx="165">
                  <c:v>11.526530770006</c:v>
                </c:pt>
                <c:pt idx="166">
                  <c:v>8.5261188674517605</c:v>
                </c:pt>
                <c:pt idx="167">
                  <c:v>3.1598295883773502</c:v>
                </c:pt>
                <c:pt idx="168">
                  <c:v>-4.1553839078373498</c:v>
                </c:pt>
                <c:pt idx="169">
                  <c:v>-11.6454842468924</c:v>
                </c:pt>
                <c:pt idx="170">
                  <c:v>-16.609982153979601</c:v>
                </c:pt>
                <c:pt idx="171">
                  <c:v>-21.997021381390699</c:v>
                </c:pt>
                <c:pt idx="172">
                  <c:v>-29.279669739884799</c:v>
                </c:pt>
                <c:pt idx="173">
                  <c:v>-22.608517118377101</c:v>
                </c:pt>
                <c:pt idx="174">
                  <c:v>-15.487204792556801</c:v>
                </c:pt>
                <c:pt idx="175">
                  <c:v>-7.66207274479933</c:v>
                </c:pt>
                <c:pt idx="176">
                  <c:v>-5.7709262460670701</c:v>
                </c:pt>
                <c:pt idx="177">
                  <c:v>2.5468077453002</c:v>
                </c:pt>
                <c:pt idx="178">
                  <c:v>4.7412710714884696</c:v>
                </c:pt>
                <c:pt idx="179">
                  <c:v>-2.2556136768511701</c:v>
                </c:pt>
                <c:pt idx="180">
                  <c:v>-7.3573400570280096</c:v>
                </c:pt>
                <c:pt idx="181">
                  <c:v>-12.332899811325101</c:v>
                </c:pt>
                <c:pt idx="182">
                  <c:v>-19.623568347302701</c:v>
                </c:pt>
                <c:pt idx="183">
                  <c:v>-23.5390050081736</c:v>
                </c:pt>
                <c:pt idx="184">
                  <c:v>-28.2044430716163</c:v>
                </c:pt>
                <c:pt idx="185">
                  <c:v>-25.473422743958899</c:v>
                </c:pt>
                <c:pt idx="186">
                  <c:v>-17.252653815431</c:v>
                </c:pt>
                <c:pt idx="187">
                  <c:v>-10.4627416586703</c:v>
                </c:pt>
                <c:pt idx="188">
                  <c:v>0.99284132419011695</c:v>
                </c:pt>
                <c:pt idx="189">
                  <c:v>0.30042321177057202</c:v>
                </c:pt>
                <c:pt idx="190">
                  <c:v>-6.0795754386312497</c:v>
                </c:pt>
                <c:pt idx="191">
                  <c:v>-13.013347143886101</c:v>
                </c:pt>
                <c:pt idx="192">
                  <c:v>-18.1526861122078</c:v>
                </c:pt>
                <c:pt idx="193">
                  <c:v>-25.5092435671217</c:v>
                </c:pt>
                <c:pt idx="194">
                  <c:v>-29.854250647706401</c:v>
                </c:pt>
                <c:pt idx="195">
                  <c:v>-31.099454768580799</c:v>
                </c:pt>
                <c:pt idx="196">
                  <c:v>-32.574813221228801</c:v>
                </c:pt>
                <c:pt idx="197">
                  <c:v>-24.090967592430701</c:v>
                </c:pt>
                <c:pt idx="198">
                  <c:v>-11.579510791805999</c:v>
                </c:pt>
                <c:pt idx="199">
                  <c:v>-5.0465529836914698</c:v>
                </c:pt>
                <c:pt idx="200">
                  <c:v>10.657654234560599</c:v>
                </c:pt>
                <c:pt idx="201">
                  <c:v>12.052695795314801</c:v>
                </c:pt>
                <c:pt idx="202">
                  <c:v>5.1251338372272102</c:v>
                </c:pt>
                <c:pt idx="203">
                  <c:v>-3.3215880651227399</c:v>
                </c:pt>
                <c:pt idx="204">
                  <c:v>-8.9375071549988601</c:v>
                </c:pt>
                <c:pt idx="205">
                  <c:v>-7.8068329008496598</c:v>
                </c:pt>
                <c:pt idx="206">
                  <c:v>-15.9157573381639</c:v>
                </c:pt>
                <c:pt idx="207">
                  <c:v>-22.404515937549501</c:v>
                </c:pt>
                <c:pt idx="208">
                  <c:v>-29.448736724091201</c:v>
                </c:pt>
                <c:pt idx="209">
                  <c:v>-21.583279520851999</c:v>
                </c:pt>
                <c:pt idx="210">
                  <c:v>-6.9383742787144396</c:v>
                </c:pt>
                <c:pt idx="211">
                  <c:v>-3.7258022498539898</c:v>
                </c:pt>
                <c:pt idx="212">
                  <c:v>-0.47561526728936199</c:v>
                </c:pt>
                <c:pt idx="213">
                  <c:v>2.9800061064338901</c:v>
                </c:pt>
                <c:pt idx="214">
                  <c:v>-7.8057981670103196</c:v>
                </c:pt>
                <c:pt idx="215">
                  <c:v>-9.6864648075974795</c:v>
                </c:pt>
                <c:pt idx="216">
                  <c:v>-15.4111252749539</c:v>
                </c:pt>
                <c:pt idx="217">
                  <c:v>-23.079343356770899</c:v>
                </c:pt>
                <c:pt idx="218">
                  <c:v>-25.798621148449801</c:v>
                </c:pt>
                <c:pt idx="219">
                  <c:v>-29.053236902338899</c:v>
                </c:pt>
                <c:pt idx="220">
                  <c:v>-33.733398426902902</c:v>
                </c:pt>
                <c:pt idx="221">
                  <c:v>-36.687505301666903</c:v>
                </c:pt>
                <c:pt idx="222">
                  <c:v>-31.230511613769</c:v>
                </c:pt>
                <c:pt idx="223">
                  <c:v>-22.591610670668501</c:v>
                </c:pt>
                <c:pt idx="224">
                  <c:v>-18.892168135029699</c:v>
                </c:pt>
                <c:pt idx="225">
                  <c:v>-16.126845814866499</c:v>
                </c:pt>
                <c:pt idx="226">
                  <c:v>-16.3153311317987</c:v>
                </c:pt>
                <c:pt idx="227">
                  <c:v>-20.864388239217401</c:v>
                </c:pt>
                <c:pt idx="228">
                  <c:v>-20.333926335555901</c:v>
                </c:pt>
                <c:pt idx="229">
                  <c:v>-27.324361015689998</c:v>
                </c:pt>
                <c:pt idx="230">
                  <c:v>-34.052667663080101</c:v>
                </c:pt>
                <c:pt idx="231">
                  <c:v>-38.789994069022598</c:v>
                </c:pt>
                <c:pt idx="232">
                  <c:v>-43.7348783208257</c:v>
                </c:pt>
                <c:pt idx="233">
                  <c:v>-42.846295845342297</c:v>
                </c:pt>
                <c:pt idx="234">
                  <c:v>-24.5878516031629</c:v>
                </c:pt>
                <c:pt idx="235">
                  <c:v>-13.687532824111599</c:v>
                </c:pt>
                <c:pt idx="236">
                  <c:v>-6.36267125943818</c:v>
                </c:pt>
                <c:pt idx="237">
                  <c:v>4.7659405734189502</c:v>
                </c:pt>
                <c:pt idx="238">
                  <c:v>-3.83852700946994</c:v>
                </c:pt>
                <c:pt idx="239">
                  <c:v>-11.6179728085375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7-694C-B257-35FFC29FD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73445632"/>
        <c:axId val="1183749824"/>
      </c:barChart>
      <c:catAx>
        <c:axId val="117344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3749824"/>
        <c:crosses val="autoZero"/>
        <c:auto val="1"/>
        <c:lblAlgn val="ctr"/>
        <c:lblOffset val="100"/>
        <c:noMultiLvlLbl val="0"/>
      </c:catAx>
      <c:valAx>
        <c:axId val="118374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344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'datos grace puebla'!$B$2</c:f>
              <c:strCache>
                <c:ptCount val="1"/>
                <c:pt idx="0">
                  <c:v>Water Equivalent Thickness – Land (GRACE, GRACE-FO JPL)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'datos grace puebla'!$B$3:$B$242</c:f>
              <c:numCache>
                <c:formatCode>0.00</c:formatCode>
                <c:ptCount val="240"/>
                <c:pt idx="0">
                  <c:v>-11.8944489272511</c:v>
                </c:pt>
                <c:pt idx="1">
                  <c:v>-15.399317401108799</c:v>
                </c:pt>
                <c:pt idx="2">
                  <c:v>1.0798434399799099</c:v>
                </c:pt>
                <c:pt idx="3">
                  <c:v>14.4724057199232</c:v>
                </c:pt>
                <c:pt idx="4">
                  <c:v>19.007429977299999</c:v>
                </c:pt>
                <c:pt idx="5">
                  <c:v>16.235068784447801</c:v>
                </c:pt>
                <c:pt idx="6">
                  <c:v>10.9042083782874</c:v>
                </c:pt>
                <c:pt idx="7">
                  <c:v>7.2877647666060099</c:v>
                </c:pt>
                <c:pt idx="8">
                  <c:v>-2.7430210617571298</c:v>
                </c:pt>
                <c:pt idx="9">
                  <c:v>-8.6739991387552795</c:v>
                </c:pt>
                <c:pt idx="10">
                  <c:v>-15.758955432680899</c:v>
                </c:pt>
                <c:pt idx="11">
                  <c:v>-20.014076814634201</c:v>
                </c:pt>
                <c:pt idx="12">
                  <c:v>4.0164043826549003</c:v>
                </c:pt>
                <c:pt idx="13">
                  <c:v>10.8415119772576</c:v>
                </c:pt>
                <c:pt idx="14">
                  <c:v>16.663091070371099</c:v>
                </c:pt>
                <c:pt idx="15">
                  <c:v>23.91724170314</c:v>
                </c:pt>
                <c:pt idx="16">
                  <c:v>21.3430874043875</c:v>
                </c:pt>
                <c:pt idx="17">
                  <c:v>11.042636979723699</c:v>
                </c:pt>
                <c:pt idx="18">
                  <c:v>8.3038450650670299</c:v>
                </c:pt>
                <c:pt idx="19">
                  <c:v>0.59408571629642704</c:v>
                </c:pt>
                <c:pt idx="20">
                  <c:v>-5.9103054186529702</c:v>
                </c:pt>
                <c:pt idx="21">
                  <c:v>-9.7857981777019099</c:v>
                </c:pt>
                <c:pt idx="22">
                  <c:v>-12.526884856281301</c:v>
                </c:pt>
                <c:pt idx="23">
                  <c:v>-1.2844791599749801</c:v>
                </c:pt>
                <c:pt idx="24">
                  <c:v>5.2926968141724098</c:v>
                </c:pt>
                <c:pt idx="25">
                  <c:v>7.6894514671326304</c:v>
                </c:pt>
                <c:pt idx="26">
                  <c:v>12.875836285183601</c:v>
                </c:pt>
                <c:pt idx="27">
                  <c:v>20.3891989247672</c:v>
                </c:pt>
                <c:pt idx="28">
                  <c:v>14.590001472624399</c:v>
                </c:pt>
                <c:pt idx="29">
                  <c:v>8.2367682218351099</c:v>
                </c:pt>
                <c:pt idx="30">
                  <c:v>2.0561591625478699</c:v>
                </c:pt>
                <c:pt idx="31">
                  <c:v>-3.97216825803884</c:v>
                </c:pt>
                <c:pt idx="32">
                  <c:v>-10.412027327922599</c:v>
                </c:pt>
                <c:pt idx="33">
                  <c:v>-11.724331241679799</c:v>
                </c:pt>
                <c:pt idx="34">
                  <c:v>-19.1976582525498</c:v>
                </c:pt>
                <c:pt idx="35">
                  <c:v>-19.288237743658499</c:v>
                </c:pt>
                <c:pt idx="36">
                  <c:v>-1.53984442504265</c:v>
                </c:pt>
                <c:pt idx="37">
                  <c:v>6.4523865476981399</c:v>
                </c:pt>
                <c:pt idx="38">
                  <c:v>13.8431722702258</c:v>
                </c:pt>
                <c:pt idx="39">
                  <c:v>17.243346338512801</c:v>
                </c:pt>
                <c:pt idx="40">
                  <c:v>10.6707625010781</c:v>
                </c:pt>
                <c:pt idx="41">
                  <c:v>3.3589345808173201</c:v>
                </c:pt>
                <c:pt idx="42">
                  <c:v>-4.6996428664974097</c:v>
                </c:pt>
                <c:pt idx="43">
                  <c:v>-10.346920228210699</c:v>
                </c:pt>
                <c:pt idx="44">
                  <c:v>-11.9867257090485</c:v>
                </c:pt>
                <c:pt idx="45">
                  <c:v>-17.538450280783199</c:v>
                </c:pt>
                <c:pt idx="46">
                  <c:v>-17.958793920112299</c:v>
                </c:pt>
                <c:pt idx="47">
                  <c:v>-12.6345806705034</c:v>
                </c:pt>
                <c:pt idx="48">
                  <c:v>-2.7370351395770198</c:v>
                </c:pt>
                <c:pt idx="49">
                  <c:v>8.1890544280209294</c:v>
                </c:pt>
                <c:pt idx="50">
                  <c:v>11.098466565253601</c:v>
                </c:pt>
                <c:pt idx="51">
                  <c:v>15.8707243161075</c:v>
                </c:pt>
                <c:pt idx="52">
                  <c:v>16.660304346474302</c:v>
                </c:pt>
                <c:pt idx="53">
                  <c:v>13.7368263000421</c:v>
                </c:pt>
                <c:pt idx="54">
                  <c:v>6.8731892200917599</c:v>
                </c:pt>
                <c:pt idx="55">
                  <c:v>-2.1429225347205301</c:v>
                </c:pt>
                <c:pt idx="56">
                  <c:v>-6.5094018304921004</c:v>
                </c:pt>
                <c:pt idx="57">
                  <c:v>-13.2875953396982</c:v>
                </c:pt>
                <c:pt idx="58">
                  <c:v>-14.759399399740101</c:v>
                </c:pt>
                <c:pt idx="59">
                  <c:v>-12.391791953352699</c:v>
                </c:pt>
                <c:pt idx="60">
                  <c:v>-6.2690367555446196</c:v>
                </c:pt>
                <c:pt idx="61">
                  <c:v>0.400401051275872</c:v>
                </c:pt>
                <c:pt idx="62">
                  <c:v>18.305674963983201</c:v>
                </c:pt>
                <c:pt idx="63">
                  <c:v>19.696853007542401</c:v>
                </c:pt>
                <c:pt idx="64">
                  <c:v>10.723504606055499</c:v>
                </c:pt>
                <c:pt idx="65">
                  <c:v>4.7423318728138399</c:v>
                </c:pt>
                <c:pt idx="66">
                  <c:v>1.8505284616290301</c:v>
                </c:pt>
                <c:pt idx="67">
                  <c:v>-7.0347588757253501</c:v>
                </c:pt>
                <c:pt idx="68">
                  <c:v>-11.221964702588901</c:v>
                </c:pt>
                <c:pt idx="69">
                  <c:v>-17.9089796269513</c:v>
                </c:pt>
                <c:pt idx="70">
                  <c:v>-19.034546325562001</c:v>
                </c:pt>
                <c:pt idx="71">
                  <c:v>-12.9169521281696</c:v>
                </c:pt>
                <c:pt idx="72">
                  <c:v>6.5371237251707104</c:v>
                </c:pt>
                <c:pt idx="73">
                  <c:v>9.8542658634283296</c:v>
                </c:pt>
                <c:pt idx="74">
                  <c:v>17.9735650526159</c:v>
                </c:pt>
                <c:pt idx="75">
                  <c:v>22.860814667659302</c:v>
                </c:pt>
                <c:pt idx="76">
                  <c:v>13.511168591099301</c:v>
                </c:pt>
                <c:pt idx="77">
                  <c:v>4.06905048305957</c:v>
                </c:pt>
                <c:pt idx="78">
                  <c:v>0.49166406772888399</c:v>
                </c:pt>
                <c:pt idx="79">
                  <c:v>-3.6445049863509098</c:v>
                </c:pt>
                <c:pt idx="80">
                  <c:v>-10.9961584085799</c:v>
                </c:pt>
                <c:pt idx="81">
                  <c:v>-14.6269091392136</c:v>
                </c:pt>
                <c:pt idx="82">
                  <c:v>-17.4358210569448</c:v>
                </c:pt>
                <c:pt idx="83">
                  <c:v>-11.1352126455134</c:v>
                </c:pt>
                <c:pt idx="84">
                  <c:v>-4.0203102581403396</c:v>
                </c:pt>
                <c:pt idx="85">
                  <c:v>-5.2464659694782698</c:v>
                </c:pt>
                <c:pt idx="86">
                  <c:v>5.2394456077632201</c:v>
                </c:pt>
                <c:pt idx="87">
                  <c:v>12.510355286652601</c:v>
                </c:pt>
                <c:pt idx="88">
                  <c:v>7.5883758593150104</c:v>
                </c:pt>
                <c:pt idx="89">
                  <c:v>3.7462819012612698</c:v>
                </c:pt>
                <c:pt idx="90">
                  <c:v>-1.3749033567696101</c:v>
                </c:pt>
                <c:pt idx="91">
                  <c:v>4.3015209565669901</c:v>
                </c:pt>
                <c:pt idx="92">
                  <c:v>-4.2620934426344598E-2</c:v>
                </c:pt>
                <c:pt idx="93">
                  <c:v>-6.03011345548697</c:v>
                </c:pt>
                <c:pt idx="94">
                  <c:v>-16.661020959374898</c:v>
                </c:pt>
                <c:pt idx="95">
                  <c:v>-13.309627799896001</c:v>
                </c:pt>
                <c:pt idx="96">
                  <c:v>0.156031950263746</c:v>
                </c:pt>
                <c:pt idx="97">
                  <c:v>18.730560877712801</c:v>
                </c:pt>
                <c:pt idx="98">
                  <c:v>30.324440787898801</c:v>
                </c:pt>
                <c:pt idx="99">
                  <c:v>24.909859951006599</c:v>
                </c:pt>
                <c:pt idx="100">
                  <c:v>13.680993710997001</c:v>
                </c:pt>
                <c:pt idx="101">
                  <c:v>8.5577950844340602</c:v>
                </c:pt>
                <c:pt idx="102">
                  <c:v>-3.68393173033513</c:v>
                </c:pt>
                <c:pt idx="103">
                  <c:v>-8.8371090354598394</c:v>
                </c:pt>
                <c:pt idx="104">
                  <c:v>-13.7864056291259</c:v>
                </c:pt>
                <c:pt idx="105">
                  <c:v>-16.777421726492701</c:v>
                </c:pt>
                <c:pt idx="106">
                  <c:v>11.1554859172352</c:v>
                </c:pt>
                <c:pt idx="107">
                  <c:v>15.517464860694901</c:v>
                </c:pt>
                <c:pt idx="108">
                  <c:v>21.2161672519319</c:v>
                </c:pt>
                <c:pt idx="109">
                  <c:v>21.0419872211091</c:v>
                </c:pt>
                <c:pt idx="110">
                  <c:v>17.971421615573</c:v>
                </c:pt>
                <c:pt idx="111">
                  <c:v>5.2280223645534996</c:v>
                </c:pt>
                <c:pt idx="112">
                  <c:v>2.14636482185192</c:v>
                </c:pt>
                <c:pt idx="113">
                  <c:v>-3.2019408621094398</c:v>
                </c:pt>
                <c:pt idx="114">
                  <c:v>-10.742952606288201</c:v>
                </c:pt>
                <c:pt idx="115">
                  <c:v>-12.0897101486302</c:v>
                </c:pt>
                <c:pt idx="116">
                  <c:v>-10.6558208508617</c:v>
                </c:pt>
                <c:pt idx="117">
                  <c:v>2.5380692138747198</c:v>
                </c:pt>
                <c:pt idx="118">
                  <c:v>14.280266597288101</c:v>
                </c:pt>
                <c:pt idx="119">
                  <c:v>14.6212411833726</c:v>
                </c:pt>
                <c:pt idx="120">
                  <c:v>7.9696879274011296</c:v>
                </c:pt>
                <c:pt idx="121">
                  <c:v>5.4573275552862004</c:v>
                </c:pt>
                <c:pt idx="122">
                  <c:v>-2.56787308083989</c:v>
                </c:pt>
                <c:pt idx="123">
                  <c:v>-8.7483933983571092</c:v>
                </c:pt>
                <c:pt idx="124">
                  <c:v>-17.919278471378099</c:v>
                </c:pt>
                <c:pt idx="125">
                  <c:v>-20.477049060744701</c:v>
                </c:pt>
                <c:pt idx="126">
                  <c:v>-14.8890765203363</c:v>
                </c:pt>
                <c:pt idx="127">
                  <c:v>-3.0671984568438702</c:v>
                </c:pt>
                <c:pt idx="128">
                  <c:v>22.363127219843101</c:v>
                </c:pt>
                <c:pt idx="129">
                  <c:v>18.437701073827601</c:v>
                </c:pt>
                <c:pt idx="130">
                  <c:v>10.3587925903298</c:v>
                </c:pt>
                <c:pt idx="131">
                  <c:v>9.8800372633882496</c:v>
                </c:pt>
                <c:pt idx="132">
                  <c:v>-11.9879792245305</c:v>
                </c:pt>
                <c:pt idx="133">
                  <c:v>-10.781183787269001</c:v>
                </c:pt>
                <c:pt idx="134">
                  <c:v>-12.9983907757527</c:v>
                </c:pt>
                <c:pt idx="135">
                  <c:v>-2.7237136779553501</c:v>
                </c:pt>
                <c:pt idx="136">
                  <c:v>9.0719473970853404</c:v>
                </c:pt>
                <c:pt idx="137">
                  <c:v>16.718441930951901</c:v>
                </c:pt>
                <c:pt idx="138">
                  <c:v>20.754624492841199</c:v>
                </c:pt>
                <c:pt idx="139">
                  <c:v>14.7765221161567</c:v>
                </c:pt>
                <c:pt idx="140">
                  <c:v>3.0287185871889499</c:v>
                </c:pt>
                <c:pt idx="141">
                  <c:v>-6.2482347149602404</c:v>
                </c:pt>
                <c:pt idx="142">
                  <c:v>-0.76588880980529594</c:v>
                </c:pt>
                <c:pt idx="143">
                  <c:v>-10.08912597282</c:v>
                </c:pt>
                <c:pt idx="144">
                  <c:v>-13.3027566081113</c:v>
                </c:pt>
                <c:pt idx="145">
                  <c:v>0.58182638406611198</c:v>
                </c:pt>
                <c:pt idx="146">
                  <c:v>-5.6470148159391496</c:v>
                </c:pt>
                <c:pt idx="147">
                  <c:v>1.56952213123764</c:v>
                </c:pt>
                <c:pt idx="148">
                  <c:v>6.4629169370778499</c:v>
                </c:pt>
                <c:pt idx="149">
                  <c:v>-0.64588293537639796</c:v>
                </c:pt>
                <c:pt idx="150">
                  <c:v>-11.3202194260633</c:v>
                </c:pt>
                <c:pt idx="151">
                  <c:v>-10.118954869566</c:v>
                </c:pt>
                <c:pt idx="152">
                  <c:v>-21.33451508416</c:v>
                </c:pt>
                <c:pt idx="153">
                  <c:v>-14.8302487159348</c:v>
                </c:pt>
                <c:pt idx="154">
                  <c:v>-7.7696021773121497</c:v>
                </c:pt>
                <c:pt idx="155">
                  <c:v>1.6668197710565</c:v>
                </c:pt>
                <c:pt idx="156">
                  <c:v>2.3625828861145699</c:v>
                </c:pt>
                <c:pt idx="157">
                  <c:v>1.0095034077563001</c:v>
                </c:pt>
                <c:pt idx="158">
                  <c:v>-4.4611399486861396</c:v>
                </c:pt>
                <c:pt idx="159">
                  <c:v>-14.702708440480301</c:v>
                </c:pt>
                <c:pt idx="160">
                  <c:v>-16.457579615173401</c:v>
                </c:pt>
                <c:pt idx="161">
                  <c:v>-21.838005371970599</c:v>
                </c:pt>
                <c:pt idx="162">
                  <c:v>-21.281045523119602</c:v>
                </c:pt>
                <c:pt idx="163">
                  <c:v>-12.0098712636358</c:v>
                </c:pt>
                <c:pt idx="164">
                  <c:v>-4.0854123687572104</c:v>
                </c:pt>
                <c:pt idx="165">
                  <c:v>11.526530770006</c:v>
                </c:pt>
                <c:pt idx="166">
                  <c:v>8.5261188674517605</c:v>
                </c:pt>
                <c:pt idx="167">
                  <c:v>3.1598295883773502</c:v>
                </c:pt>
                <c:pt idx="168">
                  <c:v>-4.1553839078373498</c:v>
                </c:pt>
                <c:pt idx="169">
                  <c:v>-11.6454842468924</c:v>
                </c:pt>
                <c:pt idx="170">
                  <c:v>-16.609982153979601</c:v>
                </c:pt>
                <c:pt idx="171">
                  <c:v>-21.997021381390699</c:v>
                </c:pt>
                <c:pt idx="172">
                  <c:v>-29.279669739884799</c:v>
                </c:pt>
                <c:pt idx="173">
                  <c:v>-22.608517118377101</c:v>
                </c:pt>
                <c:pt idx="174">
                  <c:v>-15.487204792556801</c:v>
                </c:pt>
                <c:pt idx="175">
                  <c:v>-7.66207274479933</c:v>
                </c:pt>
                <c:pt idx="176">
                  <c:v>-5.7709262460670701</c:v>
                </c:pt>
                <c:pt idx="177">
                  <c:v>2.5468077453002</c:v>
                </c:pt>
                <c:pt idx="178">
                  <c:v>4.7412710714884696</c:v>
                </c:pt>
                <c:pt idx="179">
                  <c:v>-2.2556136768511701</c:v>
                </c:pt>
                <c:pt idx="180">
                  <c:v>-7.3573400570280096</c:v>
                </c:pt>
                <c:pt idx="181">
                  <c:v>-12.332899811325101</c:v>
                </c:pt>
                <c:pt idx="182">
                  <c:v>-19.623568347302701</c:v>
                </c:pt>
                <c:pt idx="183">
                  <c:v>-23.5390050081736</c:v>
                </c:pt>
                <c:pt idx="184">
                  <c:v>-28.2044430716163</c:v>
                </c:pt>
                <c:pt idx="185">
                  <c:v>-25.473422743958899</c:v>
                </c:pt>
                <c:pt idx="186">
                  <c:v>-17.252653815431</c:v>
                </c:pt>
                <c:pt idx="187">
                  <c:v>-10.4627416586703</c:v>
                </c:pt>
                <c:pt idx="188">
                  <c:v>0.99284132419011695</c:v>
                </c:pt>
                <c:pt idx="189">
                  <c:v>0.30042321177057202</c:v>
                </c:pt>
                <c:pt idx="190">
                  <c:v>-6.0795754386312497</c:v>
                </c:pt>
                <c:pt idx="191">
                  <c:v>-13.013347143886101</c:v>
                </c:pt>
                <c:pt idx="192">
                  <c:v>-18.1526861122078</c:v>
                </c:pt>
                <c:pt idx="193">
                  <c:v>-25.5092435671217</c:v>
                </c:pt>
                <c:pt idx="194">
                  <c:v>-29.854250647706401</c:v>
                </c:pt>
                <c:pt idx="195">
                  <c:v>-31.099454768580799</c:v>
                </c:pt>
                <c:pt idx="196">
                  <c:v>-32.574813221228801</c:v>
                </c:pt>
                <c:pt idx="197">
                  <c:v>-24.090967592430701</c:v>
                </c:pt>
                <c:pt idx="198">
                  <c:v>-11.579510791805999</c:v>
                </c:pt>
                <c:pt idx="199">
                  <c:v>-5.0465529836914698</c:v>
                </c:pt>
                <c:pt idx="200">
                  <c:v>10.657654234560599</c:v>
                </c:pt>
                <c:pt idx="201">
                  <c:v>12.052695795314801</c:v>
                </c:pt>
                <c:pt idx="202">
                  <c:v>5.1251338372272102</c:v>
                </c:pt>
                <c:pt idx="203">
                  <c:v>-3.3215880651227399</c:v>
                </c:pt>
                <c:pt idx="204">
                  <c:v>-8.9375071549988601</c:v>
                </c:pt>
                <c:pt idx="205">
                  <c:v>-7.8068329008496598</c:v>
                </c:pt>
                <c:pt idx="206">
                  <c:v>-15.9157573381639</c:v>
                </c:pt>
                <c:pt idx="207">
                  <c:v>-22.404515937549501</c:v>
                </c:pt>
                <c:pt idx="208">
                  <c:v>-29.448736724091201</c:v>
                </c:pt>
                <c:pt idx="209">
                  <c:v>-21.583279520851999</c:v>
                </c:pt>
                <c:pt idx="210">
                  <c:v>-6.9383742787144396</c:v>
                </c:pt>
                <c:pt idx="211">
                  <c:v>-3.7258022498539898</c:v>
                </c:pt>
                <c:pt idx="212">
                  <c:v>-0.47561526728936199</c:v>
                </c:pt>
                <c:pt idx="213">
                  <c:v>2.9800061064338901</c:v>
                </c:pt>
                <c:pt idx="214">
                  <c:v>-7.8057981670103196</c:v>
                </c:pt>
                <c:pt idx="215">
                  <c:v>-9.6864648075974795</c:v>
                </c:pt>
                <c:pt idx="216">
                  <c:v>-15.4111252749539</c:v>
                </c:pt>
                <c:pt idx="217">
                  <c:v>-23.079343356770899</c:v>
                </c:pt>
                <c:pt idx="218">
                  <c:v>-25.798621148449801</c:v>
                </c:pt>
                <c:pt idx="219">
                  <c:v>-29.053236902338899</c:v>
                </c:pt>
                <c:pt idx="220">
                  <c:v>-33.733398426902902</c:v>
                </c:pt>
                <c:pt idx="221">
                  <c:v>-36.687505301666903</c:v>
                </c:pt>
                <c:pt idx="222">
                  <c:v>-31.230511613769</c:v>
                </c:pt>
                <c:pt idx="223">
                  <c:v>-22.591610670668501</c:v>
                </c:pt>
                <c:pt idx="224">
                  <c:v>-18.892168135029699</c:v>
                </c:pt>
                <c:pt idx="225">
                  <c:v>-16.126845814866499</c:v>
                </c:pt>
                <c:pt idx="226">
                  <c:v>-16.3153311317987</c:v>
                </c:pt>
                <c:pt idx="227">
                  <c:v>-20.864388239217401</c:v>
                </c:pt>
                <c:pt idx="228">
                  <c:v>-20.333926335555901</c:v>
                </c:pt>
                <c:pt idx="229">
                  <c:v>-27.324361015689998</c:v>
                </c:pt>
                <c:pt idx="230">
                  <c:v>-34.052667663080101</c:v>
                </c:pt>
                <c:pt idx="231">
                  <c:v>-38.789994069022598</c:v>
                </c:pt>
                <c:pt idx="232">
                  <c:v>-43.7348783208257</c:v>
                </c:pt>
                <c:pt idx="233">
                  <c:v>-42.846295845342297</c:v>
                </c:pt>
                <c:pt idx="234">
                  <c:v>-24.5878516031629</c:v>
                </c:pt>
                <c:pt idx="235">
                  <c:v>-13.687532824111599</c:v>
                </c:pt>
                <c:pt idx="236">
                  <c:v>-6.36267125943818</c:v>
                </c:pt>
                <c:pt idx="237">
                  <c:v>4.7659405734189502</c:v>
                </c:pt>
                <c:pt idx="238">
                  <c:v>-3.83852700946994</c:v>
                </c:pt>
                <c:pt idx="239">
                  <c:v>-11.6179728085375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FD-C142-82F7-97A226707D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83754304"/>
        <c:axId val="1130279616"/>
      </c:lineChart>
      <c:catAx>
        <c:axId val="118375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0279616"/>
        <c:crosses val="autoZero"/>
        <c:auto val="1"/>
        <c:lblAlgn val="ctr"/>
        <c:lblOffset val="100"/>
        <c:noMultiLvlLbl val="0"/>
      </c:catAx>
      <c:valAx>
        <c:axId val="113027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375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3.2259301732436879E-2"/>
          <c:y val="1.3800300716179322E-2"/>
          <c:w val="0.95215375233478183"/>
          <c:h val="0.94472361809045224"/>
        </c:manualLayout>
      </c:layout>
      <c:lineChart>
        <c:grouping val="standard"/>
        <c:varyColors val="0"/>
        <c:ser>
          <c:idx val="0"/>
          <c:order val="0"/>
          <c:tx>
            <c:strRef>
              <c:f>'datos grace puebla'!$B$2</c:f>
              <c:strCache>
                <c:ptCount val="1"/>
                <c:pt idx="0">
                  <c:v>Water Equivalent Thickness – Land (GRACE, GRACE-FO JPL)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'datos grace puebla'!$A$3:$A$242</c:f>
              <c:strCache>
                <c:ptCount val="240"/>
                <c:pt idx="0">
                  <c:v>2002-04-17 12:00:00</c:v>
                </c:pt>
                <c:pt idx="1">
                  <c:v>2002-05-10 12:00:00</c:v>
                </c:pt>
                <c:pt idx="2">
                  <c:v>2002-08-16 12:00:00</c:v>
                </c:pt>
                <c:pt idx="3">
                  <c:v>2002-09-16 00:00:00</c:v>
                </c:pt>
                <c:pt idx="4">
                  <c:v>2002-10-16 12:00:00</c:v>
                </c:pt>
                <c:pt idx="5">
                  <c:v>2002-11-16 00:00:00</c:v>
                </c:pt>
                <c:pt idx="6">
                  <c:v>2002-12-16 12:00:00</c:v>
                </c:pt>
                <c:pt idx="7">
                  <c:v>2003-01-16 12:00:00</c:v>
                </c:pt>
                <c:pt idx="8">
                  <c:v>2003-02-15 00:00:00</c:v>
                </c:pt>
                <c:pt idx="9">
                  <c:v>2003-03-16 12:00:00</c:v>
                </c:pt>
                <c:pt idx="10">
                  <c:v>2003-04-16 00:00:00</c:v>
                </c:pt>
                <c:pt idx="11">
                  <c:v>2003-05-11 12:00:00</c:v>
                </c:pt>
                <c:pt idx="12">
                  <c:v>2003-07-16 12:00:00</c:v>
                </c:pt>
                <c:pt idx="13">
                  <c:v>2003-08-16 12:00:00</c:v>
                </c:pt>
                <c:pt idx="14">
                  <c:v>2003-09-16 00:00:00</c:v>
                </c:pt>
                <c:pt idx="15">
                  <c:v>2003-10-16 00:00:00</c:v>
                </c:pt>
                <c:pt idx="16">
                  <c:v>2003-11-16 00:00:00</c:v>
                </c:pt>
                <c:pt idx="17">
                  <c:v>2003-12-16 12:00:00</c:v>
                </c:pt>
                <c:pt idx="18">
                  <c:v>2004-01-07 12:00:00</c:v>
                </c:pt>
                <c:pt idx="19">
                  <c:v>2004-02-17 00:00:00</c:v>
                </c:pt>
                <c:pt idx="20">
                  <c:v>2004-03-16 12:00:00</c:v>
                </c:pt>
                <c:pt idx="21">
                  <c:v>2004-04-16 00:00:00</c:v>
                </c:pt>
                <c:pt idx="22">
                  <c:v>2004-05-16 12:00:00</c:v>
                </c:pt>
                <c:pt idx="23">
                  <c:v>2004-06-16 00:00:00</c:v>
                </c:pt>
                <c:pt idx="24">
                  <c:v>2004-07-16 12:00:00</c:v>
                </c:pt>
                <c:pt idx="25">
                  <c:v>2004-08-16 12:00:00</c:v>
                </c:pt>
                <c:pt idx="26">
                  <c:v>2004-09-16 00:00:00</c:v>
                </c:pt>
                <c:pt idx="27">
                  <c:v>2004-10-16 12:00:00</c:v>
                </c:pt>
                <c:pt idx="28">
                  <c:v>2004-11-16 00:00:00</c:v>
                </c:pt>
                <c:pt idx="29">
                  <c:v>2004-12-16 12:00:00</c:v>
                </c:pt>
                <c:pt idx="30">
                  <c:v>2005-01-16 12:00:00</c:v>
                </c:pt>
                <c:pt idx="31">
                  <c:v>2005-02-15 00:00:00</c:v>
                </c:pt>
                <c:pt idx="32">
                  <c:v>2005-03-16 12:00:00</c:v>
                </c:pt>
                <c:pt idx="33">
                  <c:v>2005-04-16 00:00:00</c:v>
                </c:pt>
                <c:pt idx="34">
                  <c:v>2005-05-16 12:00:00</c:v>
                </c:pt>
                <c:pt idx="35">
                  <c:v>2005-06-16 00:00:00</c:v>
                </c:pt>
                <c:pt idx="36">
                  <c:v>2005-07-16 12:00:00</c:v>
                </c:pt>
                <c:pt idx="37">
                  <c:v>2005-08-16 12:00:00</c:v>
                </c:pt>
                <c:pt idx="38">
                  <c:v>2005-09-16 00:00:00</c:v>
                </c:pt>
                <c:pt idx="39">
                  <c:v>2005-10-16 12:00:00</c:v>
                </c:pt>
                <c:pt idx="40">
                  <c:v>2005-11-16 00:00:00</c:v>
                </c:pt>
                <c:pt idx="41">
                  <c:v>2005-12-16 12:00:00</c:v>
                </c:pt>
                <c:pt idx="42">
                  <c:v>2006-01-16 12:00:00</c:v>
                </c:pt>
                <c:pt idx="43">
                  <c:v>2006-02-15 00:00:00</c:v>
                </c:pt>
                <c:pt idx="44">
                  <c:v>2006-03-16 12:00:00</c:v>
                </c:pt>
                <c:pt idx="45">
                  <c:v>2006-04-16 00:00:00</c:v>
                </c:pt>
                <c:pt idx="46">
                  <c:v>2006-05-16 12:00:00</c:v>
                </c:pt>
                <c:pt idx="47">
                  <c:v>2006-06-16 00:00:00</c:v>
                </c:pt>
                <c:pt idx="48">
                  <c:v>2006-07-16 12:00:00</c:v>
                </c:pt>
                <c:pt idx="49">
                  <c:v>2006-08-16 12:00:00</c:v>
                </c:pt>
                <c:pt idx="50">
                  <c:v>2006-09-16 00:00:00</c:v>
                </c:pt>
                <c:pt idx="51">
                  <c:v>2006-10-16 12:00:00</c:v>
                </c:pt>
                <c:pt idx="52">
                  <c:v>2006-11-16 00:00:00</c:v>
                </c:pt>
                <c:pt idx="53">
                  <c:v>2006-12-16 12:00:00</c:v>
                </c:pt>
                <c:pt idx="54">
                  <c:v>2007-01-16 12:00:00</c:v>
                </c:pt>
                <c:pt idx="55">
                  <c:v>2007-02-15 00:00:00</c:v>
                </c:pt>
                <c:pt idx="56">
                  <c:v>2007-03-16 12:00:00</c:v>
                </c:pt>
                <c:pt idx="57">
                  <c:v>2007-04-16 00:00:00</c:v>
                </c:pt>
                <c:pt idx="58">
                  <c:v>2007-05-16 12:00:00</c:v>
                </c:pt>
                <c:pt idx="59">
                  <c:v>2007-06-16 00:00:00</c:v>
                </c:pt>
                <c:pt idx="60">
                  <c:v>2007-07-16 12:00:00</c:v>
                </c:pt>
                <c:pt idx="61">
                  <c:v>2007-08-16 12:00:00</c:v>
                </c:pt>
                <c:pt idx="62">
                  <c:v>2007-09-16 00:00:00</c:v>
                </c:pt>
                <c:pt idx="63">
                  <c:v>2007-10-16 12:00:00</c:v>
                </c:pt>
                <c:pt idx="64">
                  <c:v>2007-11-16 00:00:00</c:v>
                </c:pt>
                <c:pt idx="65">
                  <c:v>2007-12-16 12:00:00</c:v>
                </c:pt>
                <c:pt idx="66">
                  <c:v>2008-01-16 12:00:00</c:v>
                </c:pt>
                <c:pt idx="67">
                  <c:v>2008-02-15 12:00:00</c:v>
                </c:pt>
                <c:pt idx="68">
                  <c:v>2008-03-16 12:00:00</c:v>
                </c:pt>
                <c:pt idx="69">
                  <c:v>2008-04-16 00:00:00</c:v>
                </c:pt>
                <c:pt idx="70">
                  <c:v>2008-05-16 12:00:00</c:v>
                </c:pt>
                <c:pt idx="71">
                  <c:v>2008-06-16 00:00:00</c:v>
                </c:pt>
                <c:pt idx="72">
                  <c:v>2008-07-16 12:00:00</c:v>
                </c:pt>
                <c:pt idx="73">
                  <c:v>2008-08-16 12:00:00</c:v>
                </c:pt>
                <c:pt idx="74">
                  <c:v>2008-09-16 00:00:00</c:v>
                </c:pt>
                <c:pt idx="75">
                  <c:v>2008-10-16 12:00:00</c:v>
                </c:pt>
                <c:pt idx="76">
                  <c:v>2008-11-16 00:00:00</c:v>
                </c:pt>
                <c:pt idx="77">
                  <c:v>2008-12-16 12:00:00</c:v>
                </c:pt>
                <c:pt idx="78">
                  <c:v>2009-01-16 12:00:00</c:v>
                </c:pt>
                <c:pt idx="79">
                  <c:v>2009-02-15 00:00:00</c:v>
                </c:pt>
                <c:pt idx="80">
                  <c:v>2009-03-16 12:00:00</c:v>
                </c:pt>
                <c:pt idx="81">
                  <c:v>2009-04-16 00:00:00</c:v>
                </c:pt>
                <c:pt idx="82">
                  <c:v>2009-05-16 12:00:00</c:v>
                </c:pt>
                <c:pt idx="83">
                  <c:v>2009-06-16 00:00:00</c:v>
                </c:pt>
                <c:pt idx="84">
                  <c:v>2009-07-16 12:00:00</c:v>
                </c:pt>
                <c:pt idx="85">
                  <c:v>2009-08-16 12:00:00</c:v>
                </c:pt>
                <c:pt idx="86">
                  <c:v>2009-09-16 00:00:00</c:v>
                </c:pt>
                <c:pt idx="87">
                  <c:v>2009-10-16 12:00:00</c:v>
                </c:pt>
                <c:pt idx="88">
                  <c:v>2009-11-16 00:00:00</c:v>
                </c:pt>
                <c:pt idx="89">
                  <c:v>2009-12-16 12:00:00</c:v>
                </c:pt>
                <c:pt idx="90">
                  <c:v>2010-01-16 12:00:00</c:v>
                </c:pt>
                <c:pt idx="91">
                  <c:v>2010-02-15 00:00:00</c:v>
                </c:pt>
                <c:pt idx="92">
                  <c:v>2010-03-16 12:00:00</c:v>
                </c:pt>
                <c:pt idx="93">
                  <c:v>2010-04-16 00:00:00</c:v>
                </c:pt>
                <c:pt idx="94">
                  <c:v>2010-05-16 12:00:00</c:v>
                </c:pt>
                <c:pt idx="95">
                  <c:v>2010-06-16 00:00:00</c:v>
                </c:pt>
                <c:pt idx="96">
                  <c:v>2010-07-16 12:00:00</c:v>
                </c:pt>
                <c:pt idx="97">
                  <c:v>2010-08-16 12:00:00</c:v>
                </c:pt>
                <c:pt idx="98">
                  <c:v>2010-09-16 00:00:00</c:v>
                </c:pt>
                <c:pt idx="99">
                  <c:v>2010-10-16 12:00:00</c:v>
                </c:pt>
                <c:pt idx="100">
                  <c:v>2010-11-16 00:00:00</c:v>
                </c:pt>
                <c:pt idx="101">
                  <c:v>2010-12-14 12:00:00</c:v>
                </c:pt>
                <c:pt idx="102">
                  <c:v>2011-02-18 12:00:00</c:v>
                </c:pt>
                <c:pt idx="103">
                  <c:v>2011-03-16 12:00:00</c:v>
                </c:pt>
                <c:pt idx="104">
                  <c:v>2011-04-16 00:00:00</c:v>
                </c:pt>
                <c:pt idx="105">
                  <c:v>2011-05-16 12:00:00</c:v>
                </c:pt>
                <c:pt idx="106">
                  <c:v>2011-07-18 12:00:00</c:v>
                </c:pt>
                <c:pt idx="107">
                  <c:v>2011-08-16 12:00:00</c:v>
                </c:pt>
                <c:pt idx="108">
                  <c:v>2011-09-16 00:00:00</c:v>
                </c:pt>
                <c:pt idx="109">
                  <c:v>2011-10-16 12:00:00</c:v>
                </c:pt>
                <c:pt idx="110">
                  <c:v>2011-11-01 12:00:00</c:v>
                </c:pt>
                <c:pt idx="111">
                  <c:v>2012-01-01 00:00:00</c:v>
                </c:pt>
                <c:pt idx="112">
                  <c:v>2012-01-16 12:00:00</c:v>
                </c:pt>
                <c:pt idx="113">
                  <c:v>2012-02-15 12:00:00</c:v>
                </c:pt>
                <c:pt idx="114">
                  <c:v>2012-03-16 12:00:00</c:v>
                </c:pt>
                <c:pt idx="115">
                  <c:v>2012-04-04 12:00:00</c:v>
                </c:pt>
                <c:pt idx="116">
                  <c:v>2012-06-16 00:00:00</c:v>
                </c:pt>
                <c:pt idx="117">
                  <c:v>2012-07-16 12:00:00</c:v>
                </c:pt>
                <c:pt idx="118">
                  <c:v>2012-08-16 12:00:00</c:v>
                </c:pt>
                <c:pt idx="119">
                  <c:v>2012-09-13 00:00:00</c:v>
                </c:pt>
                <c:pt idx="120">
                  <c:v>2012-11-18 12:00:00</c:v>
                </c:pt>
                <c:pt idx="121">
                  <c:v>2012-12-16 12:00:00</c:v>
                </c:pt>
                <c:pt idx="122">
                  <c:v>2013-01-16 12:00:00</c:v>
                </c:pt>
                <c:pt idx="123">
                  <c:v>2013-02-14 00:00:00</c:v>
                </c:pt>
                <c:pt idx="124">
                  <c:v>2013-04-21 00:00:00</c:v>
                </c:pt>
                <c:pt idx="125">
                  <c:v>2013-05-16 12:00:00</c:v>
                </c:pt>
                <c:pt idx="126">
                  <c:v>2013-06-16 00:00:00</c:v>
                </c:pt>
                <c:pt idx="127">
                  <c:v>2013-07-16 12:00:00</c:v>
                </c:pt>
                <c:pt idx="128">
                  <c:v>2013-10-16 12:00:00</c:v>
                </c:pt>
                <c:pt idx="129">
                  <c:v>2013-11-16 00:00:00</c:v>
                </c:pt>
                <c:pt idx="130">
                  <c:v>2013-12-16 12:00:00</c:v>
                </c:pt>
                <c:pt idx="131">
                  <c:v>2014-01-09 12:00:00</c:v>
                </c:pt>
                <c:pt idx="132">
                  <c:v>2014-03-16 12:00:00</c:v>
                </c:pt>
                <c:pt idx="133">
                  <c:v>2014-04-16 00:00:00</c:v>
                </c:pt>
                <c:pt idx="134">
                  <c:v>2014-05-16 12:00:00</c:v>
                </c:pt>
                <c:pt idx="135">
                  <c:v>2014-06-13 00:00:00</c:v>
                </c:pt>
                <c:pt idx="136">
                  <c:v>2014-08-16 12:00:00</c:v>
                </c:pt>
                <c:pt idx="137">
                  <c:v>2014-09-16 00:00:00</c:v>
                </c:pt>
                <c:pt idx="138">
                  <c:v>2014-10-16 12:00:00</c:v>
                </c:pt>
                <c:pt idx="139">
                  <c:v>2014-11-17 00:00:00</c:v>
                </c:pt>
                <c:pt idx="140">
                  <c:v>2015-01-22 12:00:00</c:v>
                </c:pt>
                <c:pt idx="141">
                  <c:v>2015-02-15 00:00:00</c:v>
                </c:pt>
                <c:pt idx="142">
                  <c:v>2015-03-16 12:00:00</c:v>
                </c:pt>
                <c:pt idx="143">
                  <c:v>2015-04-16 00:00:00</c:v>
                </c:pt>
                <c:pt idx="144">
                  <c:v>2015-04-27 00:00:00</c:v>
                </c:pt>
                <c:pt idx="145">
                  <c:v>2015-07-15 12:00:00</c:v>
                </c:pt>
                <c:pt idx="146">
                  <c:v>2015-08-16 12:00:00</c:v>
                </c:pt>
                <c:pt idx="147">
                  <c:v>2015-09-14 12:00:00</c:v>
                </c:pt>
                <c:pt idx="148">
                  <c:v>2015-12-23 12:00:00</c:v>
                </c:pt>
                <c:pt idx="149">
                  <c:v>2016-01-16 12:00:00</c:v>
                </c:pt>
                <c:pt idx="150">
                  <c:v>2016-02-14 00:00:00</c:v>
                </c:pt>
                <c:pt idx="151">
                  <c:v>2016-03-16 12:00:00</c:v>
                </c:pt>
                <c:pt idx="152">
                  <c:v>2016-05-20 00:00:00</c:v>
                </c:pt>
                <c:pt idx="153">
                  <c:v>2016-06-16 00:00:00</c:v>
                </c:pt>
                <c:pt idx="154">
                  <c:v>2016-07-15 12:00:00</c:v>
                </c:pt>
                <c:pt idx="155">
                  <c:v>2016-08-21 12:00:00</c:v>
                </c:pt>
                <c:pt idx="156">
                  <c:v>2016-11-27 12:00:00</c:v>
                </c:pt>
                <c:pt idx="157">
                  <c:v>2016-12-24 12:00:00</c:v>
                </c:pt>
                <c:pt idx="158">
                  <c:v>2017-01-21 00:00:00</c:v>
                </c:pt>
                <c:pt idx="159">
                  <c:v>2017-03-31 12:00:00</c:v>
                </c:pt>
                <c:pt idx="160">
                  <c:v>2017-04-24 12:00:00</c:v>
                </c:pt>
                <c:pt idx="161">
                  <c:v>2017-05-12 12:00:00</c:v>
                </c:pt>
                <c:pt idx="162">
                  <c:v>2017-06-11 00:00:00</c:v>
                </c:pt>
                <c:pt idx="163">
                  <c:v>2018-06-16 00:00:00</c:v>
                </c:pt>
                <c:pt idx="164">
                  <c:v>2018-07-10 00:00:00</c:v>
                </c:pt>
                <c:pt idx="165">
                  <c:v>2018-10-31 12:00:00</c:v>
                </c:pt>
                <c:pt idx="166">
                  <c:v>2018-11-16 00:00:00</c:v>
                </c:pt>
                <c:pt idx="167">
                  <c:v>2018-12-16 12:00:00</c:v>
                </c:pt>
                <c:pt idx="168">
                  <c:v>2019-01-16 12:00:00</c:v>
                </c:pt>
                <c:pt idx="169">
                  <c:v>2019-02-14 00:00:00</c:v>
                </c:pt>
                <c:pt idx="170">
                  <c:v>2019-03-16 12:00:00</c:v>
                </c:pt>
                <c:pt idx="171">
                  <c:v>2019-04-16 00:00:00</c:v>
                </c:pt>
                <c:pt idx="172">
                  <c:v>2019-05-16 12:00:00</c:v>
                </c:pt>
                <c:pt idx="173">
                  <c:v>2019-06-16 00:00:00</c:v>
                </c:pt>
                <c:pt idx="174">
                  <c:v>2019-07-16 12:00:00</c:v>
                </c:pt>
                <c:pt idx="175">
                  <c:v>2019-08-16 12:00:00</c:v>
                </c:pt>
                <c:pt idx="176">
                  <c:v>2019-09-16 00:00:00</c:v>
                </c:pt>
                <c:pt idx="177">
                  <c:v>2019-10-16 12:00:00</c:v>
                </c:pt>
                <c:pt idx="178">
                  <c:v>2019-11-16 00:00:00</c:v>
                </c:pt>
                <c:pt idx="179">
                  <c:v>2019-12-16 12:00:00</c:v>
                </c:pt>
                <c:pt idx="180">
                  <c:v>2020-01-16 12:00:00</c:v>
                </c:pt>
                <c:pt idx="181">
                  <c:v>2020-02-15 12:00:00</c:v>
                </c:pt>
                <c:pt idx="182">
                  <c:v>2020-03-16 12:00:00</c:v>
                </c:pt>
                <c:pt idx="183">
                  <c:v>2020-04-16 00:00:00</c:v>
                </c:pt>
                <c:pt idx="184">
                  <c:v>2020-05-16 12:00:00</c:v>
                </c:pt>
                <c:pt idx="185">
                  <c:v>2020-06-16 00:00:00</c:v>
                </c:pt>
                <c:pt idx="186">
                  <c:v>2020-07-16 12:00:00</c:v>
                </c:pt>
                <c:pt idx="187">
                  <c:v>2020-08-16 12:00:00</c:v>
                </c:pt>
                <c:pt idx="188">
                  <c:v>2020-09-16 00:00:00</c:v>
                </c:pt>
                <c:pt idx="189">
                  <c:v>2020-10-16 12:00:00</c:v>
                </c:pt>
                <c:pt idx="190">
                  <c:v>2020-11-16 00:00:00</c:v>
                </c:pt>
                <c:pt idx="191">
                  <c:v>2020-12-16 12:00:00</c:v>
                </c:pt>
                <c:pt idx="192">
                  <c:v>2021-01-16 12:00:00</c:v>
                </c:pt>
                <c:pt idx="193">
                  <c:v>2021-02-15 00:00:00</c:v>
                </c:pt>
                <c:pt idx="194">
                  <c:v>2021-03-16 12:00:00</c:v>
                </c:pt>
                <c:pt idx="195">
                  <c:v>2021-04-16 00:00:00</c:v>
                </c:pt>
                <c:pt idx="196">
                  <c:v>2021-05-16 12:00:00</c:v>
                </c:pt>
                <c:pt idx="197">
                  <c:v>2021-06-16 00:00:00</c:v>
                </c:pt>
                <c:pt idx="198">
                  <c:v>2021-07-16 12:00:00</c:v>
                </c:pt>
                <c:pt idx="199">
                  <c:v>2021-08-16 12:00:00</c:v>
                </c:pt>
                <c:pt idx="200">
                  <c:v>2021-09-16 00:00:00</c:v>
                </c:pt>
                <c:pt idx="201">
                  <c:v>2021-10-16 12:00:00</c:v>
                </c:pt>
                <c:pt idx="202">
                  <c:v>2021-11-16 00:00:00</c:v>
                </c:pt>
                <c:pt idx="203">
                  <c:v>2021-12-16 12:00:00</c:v>
                </c:pt>
                <c:pt idx="204">
                  <c:v>2022-01-16 12:00:00</c:v>
                </c:pt>
                <c:pt idx="205">
                  <c:v>2022-02-15 00:00:00</c:v>
                </c:pt>
                <c:pt idx="206">
                  <c:v>2022-03-16 12:00:00</c:v>
                </c:pt>
                <c:pt idx="207">
                  <c:v>2022-04-16 00:00:00</c:v>
                </c:pt>
                <c:pt idx="208">
                  <c:v>2022-05-16 12:00:00</c:v>
                </c:pt>
                <c:pt idx="209">
                  <c:v>2022-06-16 00:00:00</c:v>
                </c:pt>
                <c:pt idx="210">
                  <c:v>2022-07-16 12:00:00</c:v>
                </c:pt>
                <c:pt idx="211">
                  <c:v>2022-08-16 12:00:00</c:v>
                </c:pt>
                <c:pt idx="212">
                  <c:v>2022-09-16 00:00:00</c:v>
                </c:pt>
                <c:pt idx="213">
                  <c:v>2022-10-16 12:00:00</c:v>
                </c:pt>
                <c:pt idx="214">
                  <c:v>2022-11-16 00:00:00</c:v>
                </c:pt>
                <c:pt idx="215">
                  <c:v>2022-12-16 12:00:00</c:v>
                </c:pt>
                <c:pt idx="216">
                  <c:v>2023-01-16 12:00:00</c:v>
                </c:pt>
                <c:pt idx="217">
                  <c:v>2023-02-15 00:00:00</c:v>
                </c:pt>
                <c:pt idx="218">
                  <c:v>2023-03-16 12:00:00</c:v>
                </c:pt>
                <c:pt idx="219">
                  <c:v>2023-04-16 00:00:00</c:v>
                </c:pt>
                <c:pt idx="220">
                  <c:v>2023-05-16 12:00:00</c:v>
                </c:pt>
                <c:pt idx="221">
                  <c:v>2023-06-16 00:00:00</c:v>
                </c:pt>
                <c:pt idx="222">
                  <c:v>2023-07-16 12:00:00</c:v>
                </c:pt>
                <c:pt idx="223">
                  <c:v>2023-08-16 12:00:00</c:v>
                </c:pt>
                <c:pt idx="224">
                  <c:v>2023-09-16 00:00:00</c:v>
                </c:pt>
                <c:pt idx="225">
                  <c:v>2023-10-16 12:00:00</c:v>
                </c:pt>
                <c:pt idx="226">
                  <c:v>2023-11-16 00:00:00</c:v>
                </c:pt>
                <c:pt idx="227">
                  <c:v>2023-12-16 12:00:00</c:v>
                </c:pt>
                <c:pt idx="228">
                  <c:v>2024-01-16 12:00:00</c:v>
                </c:pt>
                <c:pt idx="229">
                  <c:v>2024-02-15 12:00:00</c:v>
                </c:pt>
                <c:pt idx="230">
                  <c:v>2024-03-16 12:00:00</c:v>
                </c:pt>
                <c:pt idx="231">
                  <c:v>2024-04-16 00:00:00</c:v>
                </c:pt>
                <c:pt idx="232">
                  <c:v>2024-05-16 12:00:00</c:v>
                </c:pt>
                <c:pt idx="233">
                  <c:v>2024-06-16 00:00:00</c:v>
                </c:pt>
                <c:pt idx="234">
                  <c:v>2024-07-16 12:00:00</c:v>
                </c:pt>
                <c:pt idx="235">
                  <c:v>2024-08-16 12:00:00</c:v>
                </c:pt>
                <c:pt idx="236">
                  <c:v>2024-09-16 00:00:00</c:v>
                </c:pt>
                <c:pt idx="237">
                  <c:v>2024-10-16 12:00:00</c:v>
                </c:pt>
                <c:pt idx="238">
                  <c:v>2024-11-16 00:00:00</c:v>
                </c:pt>
                <c:pt idx="239">
                  <c:v>2024-12-16 12:00:00</c:v>
                </c:pt>
              </c:strCache>
            </c:strRef>
          </c:cat>
          <c:val>
            <c:numRef>
              <c:f>'datos grace puebla'!$B$3:$B$242</c:f>
              <c:numCache>
                <c:formatCode>0.00</c:formatCode>
                <c:ptCount val="240"/>
                <c:pt idx="0">
                  <c:v>-11.8944489272511</c:v>
                </c:pt>
                <c:pt idx="1">
                  <c:v>-15.399317401108799</c:v>
                </c:pt>
                <c:pt idx="2">
                  <c:v>1.0798434399799099</c:v>
                </c:pt>
                <c:pt idx="3">
                  <c:v>14.4724057199232</c:v>
                </c:pt>
                <c:pt idx="4">
                  <c:v>19.007429977299999</c:v>
                </c:pt>
                <c:pt idx="5">
                  <c:v>16.235068784447801</c:v>
                </c:pt>
                <c:pt idx="6">
                  <c:v>10.9042083782874</c:v>
                </c:pt>
                <c:pt idx="7">
                  <c:v>7.2877647666060099</c:v>
                </c:pt>
                <c:pt idx="8">
                  <c:v>-2.7430210617571298</c:v>
                </c:pt>
                <c:pt idx="9">
                  <c:v>-8.6739991387552795</c:v>
                </c:pt>
                <c:pt idx="10">
                  <c:v>-15.758955432680899</c:v>
                </c:pt>
                <c:pt idx="11">
                  <c:v>-20.014076814634201</c:v>
                </c:pt>
                <c:pt idx="12">
                  <c:v>4.0164043826549003</c:v>
                </c:pt>
                <c:pt idx="13">
                  <c:v>10.8415119772576</c:v>
                </c:pt>
                <c:pt idx="14">
                  <c:v>16.663091070371099</c:v>
                </c:pt>
                <c:pt idx="15">
                  <c:v>23.91724170314</c:v>
                </c:pt>
                <c:pt idx="16">
                  <c:v>21.3430874043875</c:v>
                </c:pt>
                <c:pt idx="17">
                  <c:v>11.042636979723699</c:v>
                </c:pt>
                <c:pt idx="18">
                  <c:v>8.3038450650670299</c:v>
                </c:pt>
                <c:pt idx="19">
                  <c:v>0.59408571629642704</c:v>
                </c:pt>
                <c:pt idx="20">
                  <c:v>-5.9103054186529702</c:v>
                </c:pt>
                <c:pt idx="21">
                  <c:v>-9.7857981777019099</c:v>
                </c:pt>
                <c:pt idx="22">
                  <c:v>-12.526884856281301</c:v>
                </c:pt>
                <c:pt idx="23">
                  <c:v>-1.2844791599749801</c:v>
                </c:pt>
                <c:pt idx="24">
                  <c:v>5.2926968141724098</c:v>
                </c:pt>
                <c:pt idx="25">
                  <c:v>7.6894514671326304</c:v>
                </c:pt>
                <c:pt idx="26">
                  <c:v>12.875836285183601</c:v>
                </c:pt>
                <c:pt idx="27">
                  <c:v>20.3891989247672</c:v>
                </c:pt>
                <c:pt idx="28">
                  <c:v>14.590001472624399</c:v>
                </c:pt>
                <c:pt idx="29">
                  <c:v>8.2367682218351099</c:v>
                </c:pt>
                <c:pt idx="30">
                  <c:v>2.0561591625478699</c:v>
                </c:pt>
                <c:pt idx="31">
                  <c:v>-3.97216825803884</c:v>
                </c:pt>
                <c:pt idx="32">
                  <c:v>-10.412027327922599</c:v>
                </c:pt>
                <c:pt idx="33">
                  <c:v>-11.724331241679799</c:v>
                </c:pt>
                <c:pt idx="34">
                  <c:v>-19.1976582525498</c:v>
                </c:pt>
                <c:pt idx="35">
                  <c:v>-19.288237743658499</c:v>
                </c:pt>
                <c:pt idx="36">
                  <c:v>-1.53984442504265</c:v>
                </c:pt>
                <c:pt idx="37">
                  <c:v>6.4523865476981399</c:v>
                </c:pt>
                <c:pt idx="38">
                  <c:v>13.8431722702258</c:v>
                </c:pt>
                <c:pt idx="39">
                  <c:v>17.243346338512801</c:v>
                </c:pt>
                <c:pt idx="40">
                  <c:v>10.6707625010781</c:v>
                </c:pt>
                <c:pt idx="41">
                  <c:v>3.3589345808173201</c:v>
                </c:pt>
                <c:pt idx="42">
                  <c:v>-4.6996428664974097</c:v>
                </c:pt>
                <c:pt idx="43">
                  <c:v>-10.346920228210699</c:v>
                </c:pt>
                <c:pt idx="44">
                  <c:v>-11.9867257090485</c:v>
                </c:pt>
                <c:pt idx="45">
                  <c:v>-17.538450280783199</c:v>
                </c:pt>
                <c:pt idx="46">
                  <c:v>-17.958793920112299</c:v>
                </c:pt>
                <c:pt idx="47">
                  <c:v>-12.6345806705034</c:v>
                </c:pt>
                <c:pt idx="48">
                  <c:v>-2.7370351395770198</c:v>
                </c:pt>
                <c:pt idx="49">
                  <c:v>8.1890544280209294</c:v>
                </c:pt>
                <c:pt idx="50">
                  <c:v>11.098466565253601</c:v>
                </c:pt>
                <c:pt idx="51">
                  <c:v>15.8707243161075</c:v>
                </c:pt>
                <c:pt idx="52">
                  <c:v>16.660304346474302</c:v>
                </c:pt>
                <c:pt idx="53">
                  <c:v>13.7368263000421</c:v>
                </c:pt>
                <c:pt idx="54">
                  <c:v>6.8731892200917599</c:v>
                </c:pt>
                <c:pt idx="55">
                  <c:v>-2.1429225347205301</c:v>
                </c:pt>
                <c:pt idx="56">
                  <c:v>-6.5094018304921004</c:v>
                </c:pt>
                <c:pt idx="57">
                  <c:v>-13.2875953396982</c:v>
                </c:pt>
                <c:pt idx="58">
                  <c:v>-14.759399399740101</c:v>
                </c:pt>
                <c:pt idx="59">
                  <c:v>-12.391791953352699</c:v>
                </c:pt>
                <c:pt idx="60">
                  <c:v>-6.2690367555446196</c:v>
                </c:pt>
                <c:pt idx="61">
                  <c:v>0.400401051275872</c:v>
                </c:pt>
                <c:pt idx="62">
                  <c:v>18.305674963983201</c:v>
                </c:pt>
                <c:pt idx="63">
                  <c:v>19.696853007542401</c:v>
                </c:pt>
                <c:pt idx="64">
                  <c:v>10.723504606055499</c:v>
                </c:pt>
                <c:pt idx="65">
                  <c:v>4.7423318728138399</c:v>
                </c:pt>
                <c:pt idx="66">
                  <c:v>1.8505284616290301</c:v>
                </c:pt>
                <c:pt idx="67">
                  <c:v>-7.0347588757253501</c:v>
                </c:pt>
                <c:pt idx="68">
                  <c:v>-11.221964702588901</c:v>
                </c:pt>
                <c:pt idx="69">
                  <c:v>-17.9089796269513</c:v>
                </c:pt>
                <c:pt idx="70">
                  <c:v>-19.034546325562001</c:v>
                </c:pt>
                <c:pt idx="71">
                  <c:v>-12.9169521281696</c:v>
                </c:pt>
                <c:pt idx="72">
                  <c:v>6.5371237251707104</c:v>
                </c:pt>
                <c:pt idx="73">
                  <c:v>9.8542658634283296</c:v>
                </c:pt>
                <c:pt idx="74">
                  <c:v>17.9735650526159</c:v>
                </c:pt>
                <c:pt idx="75">
                  <c:v>22.860814667659302</c:v>
                </c:pt>
                <c:pt idx="76">
                  <c:v>13.511168591099301</c:v>
                </c:pt>
                <c:pt idx="77">
                  <c:v>4.06905048305957</c:v>
                </c:pt>
                <c:pt idx="78">
                  <c:v>0.49166406772888399</c:v>
                </c:pt>
                <c:pt idx="79">
                  <c:v>-3.6445049863509098</c:v>
                </c:pt>
                <c:pt idx="80">
                  <c:v>-10.9961584085799</c:v>
                </c:pt>
                <c:pt idx="81">
                  <c:v>-14.6269091392136</c:v>
                </c:pt>
                <c:pt idx="82">
                  <c:v>-17.4358210569448</c:v>
                </c:pt>
                <c:pt idx="83">
                  <c:v>-11.1352126455134</c:v>
                </c:pt>
                <c:pt idx="84">
                  <c:v>-4.0203102581403396</c:v>
                </c:pt>
                <c:pt idx="85">
                  <c:v>-5.2464659694782698</c:v>
                </c:pt>
                <c:pt idx="86">
                  <c:v>5.2394456077632201</c:v>
                </c:pt>
                <c:pt idx="87">
                  <c:v>12.510355286652601</c:v>
                </c:pt>
                <c:pt idx="88">
                  <c:v>7.5883758593150104</c:v>
                </c:pt>
                <c:pt idx="89">
                  <c:v>3.7462819012612698</c:v>
                </c:pt>
                <c:pt idx="90">
                  <c:v>-1.3749033567696101</c:v>
                </c:pt>
                <c:pt idx="91">
                  <c:v>4.3015209565669901</c:v>
                </c:pt>
                <c:pt idx="92">
                  <c:v>-4.2620934426344598E-2</c:v>
                </c:pt>
                <c:pt idx="93">
                  <c:v>-6.03011345548697</c:v>
                </c:pt>
                <c:pt idx="94">
                  <c:v>-16.661020959374898</c:v>
                </c:pt>
                <c:pt idx="95">
                  <c:v>-13.309627799896001</c:v>
                </c:pt>
                <c:pt idx="96">
                  <c:v>0.156031950263746</c:v>
                </c:pt>
                <c:pt idx="97">
                  <c:v>18.730560877712801</c:v>
                </c:pt>
                <c:pt idx="98">
                  <c:v>30.324440787898801</c:v>
                </c:pt>
                <c:pt idx="99">
                  <c:v>24.909859951006599</c:v>
                </c:pt>
                <c:pt idx="100">
                  <c:v>13.680993710997001</c:v>
                </c:pt>
                <c:pt idx="101">
                  <c:v>8.5577950844340602</c:v>
                </c:pt>
                <c:pt idx="102">
                  <c:v>-3.68393173033513</c:v>
                </c:pt>
                <c:pt idx="103">
                  <c:v>-8.8371090354598394</c:v>
                </c:pt>
                <c:pt idx="104">
                  <c:v>-13.7864056291259</c:v>
                </c:pt>
                <c:pt idx="105">
                  <c:v>-16.777421726492701</c:v>
                </c:pt>
                <c:pt idx="106">
                  <c:v>11.1554859172352</c:v>
                </c:pt>
                <c:pt idx="107">
                  <c:v>15.517464860694901</c:v>
                </c:pt>
                <c:pt idx="108">
                  <c:v>21.2161672519319</c:v>
                </c:pt>
                <c:pt idx="109">
                  <c:v>21.0419872211091</c:v>
                </c:pt>
                <c:pt idx="110">
                  <c:v>17.971421615573</c:v>
                </c:pt>
                <c:pt idx="111">
                  <c:v>5.2280223645534996</c:v>
                </c:pt>
                <c:pt idx="112">
                  <c:v>2.14636482185192</c:v>
                </c:pt>
                <c:pt idx="113">
                  <c:v>-3.2019408621094398</c:v>
                </c:pt>
                <c:pt idx="114">
                  <c:v>-10.742952606288201</c:v>
                </c:pt>
                <c:pt idx="115">
                  <c:v>-12.0897101486302</c:v>
                </c:pt>
                <c:pt idx="116">
                  <c:v>-10.6558208508617</c:v>
                </c:pt>
                <c:pt idx="117">
                  <c:v>2.5380692138747198</c:v>
                </c:pt>
                <c:pt idx="118">
                  <c:v>14.280266597288101</c:v>
                </c:pt>
                <c:pt idx="119">
                  <c:v>14.6212411833726</c:v>
                </c:pt>
                <c:pt idx="120">
                  <c:v>7.9696879274011296</c:v>
                </c:pt>
                <c:pt idx="121">
                  <c:v>5.4573275552862004</c:v>
                </c:pt>
                <c:pt idx="122">
                  <c:v>-2.56787308083989</c:v>
                </c:pt>
                <c:pt idx="123">
                  <c:v>-8.7483933983571092</c:v>
                </c:pt>
                <c:pt idx="124">
                  <c:v>-17.919278471378099</c:v>
                </c:pt>
                <c:pt idx="125">
                  <c:v>-20.477049060744701</c:v>
                </c:pt>
                <c:pt idx="126">
                  <c:v>-14.8890765203363</c:v>
                </c:pt>
                <c:pt idx="127">
                  <c:v>-3.0671984568438702</c:v>
                </c:pt>
                <c:pt idx="128">
                  <c:v>22.363127219843101</c:v>
                </c:pt>
                <c:pt idx="129">
                  <c:v>18.437701073827601</c:v>
                </c:pt>
                <c:pt idx="130">
                  <c:v>10.3587925903298</c:v>
                </c:pt>
                <c:pt idx="131">
                  <c:v>9.8800372633882496</c:v>
                </c:pt>
                <c:pt idx="132">
                  <c:v>-11.9879792245305</c:v>
                </c:pt>
                <c:pt idx="133">
                  <c:v>-10.781183787269001</c:v>
                </c:pt>
                <c:pt idx="134">
                  <c:v>-12.9983907757527</c:v>
                </c:pt>
                <c:pt idx="135">
                  <c:v>-2.7237136779553501</c:v>
                </c:pt>
                <c:pt idx="136">
                  <c:v>9.0719473970853404</c:v>
                </c:pt>
                <c:pt idx="137">
                  <c:v>16.718441930951901</c:v>
                </c:pt>
                <c:pt idx="138">
                  <c:v>20.754624492841199</c:v>
                </c:pt>
                <c:pt idx="139">
                  <c:v>14.7765221161567</c:v>
                </c:pt>
                <c:pt idx="140">
                  <c:v>3.0287185871889499</c:v>
                </c:pt>
                <c:pt idx="141">
                  <c:v>-6.2482347149602404</c:v>
                </c:pt>
                <c:pt idx="142">
                  <c:v>-0.76588880980529594</c:v>
                </c:pt>
                <c:pt idx="143">
                  <c:v>-10.08912597282</c:v>
                </c:pt>
                <c:pt idx="144">
                  <c:v>-13.3027566081113</c:v>
                </c:pt>
                <c:pt idx="145">
                  <c:v>0.58182638406611198</c:v>
                </c:pt>
                <c:pt idx="146">
                  <c:v>-5.6470148159391496</c:v>
                </c:pt>
                <c:pt idx="147">
                  <c:v>1.56952213123764</c:v>
                </c:pt>
                <c:pt idx="148">
                  <c:v>6.4629169370778499</c:v>
                </c:pt>
                <c:pt idx="149">
                  <c:v>-0.64588293537639796</c:v>
                </c:pt>
                <c:pt idx="150">
                  <c:v>-11.3202194260633</c:v>
                </c:pt>
                <c:pt idx="151">
                  <c:v>-10.118954869566</c:v>
                </c:pt>
                <c:pt idx="152">
                  <c:v>-21.33451508416</c:v>
                </c:pt>
                <c:pt idx="153">
                  <c:v>-14.8302487159348</c:v>
                </c:pt>
                <c:pt idx="154">
                  <c:v>-7.7696021773121497</c:v>
                </c:pt>
                <c:pt idx="155">
                  <c:v>1.6668197710565</c:v>
                </c:pt>
                <c:pt idx="156">
                  <c:v>2.3625828861145699</c:v>
                </c:pt>
                <c:pt idx="157">
                  <c:v>1.0095034077563001</c:v>
                </c:pt>
                <c:pt idx="158">
                  <c:v>-4.4611399486861396</c:v>
                </c:pt>
                <c:pt idx="159">
                  <c:v>-14.702708440480301</c:v>
                </c:pt>
                <c:pt idx="160">
                  <c:v>-16.457579615173401</c:v>
                </c:pt>
                <c:pt idx="161">
                  <c:v>-21.838005371970599</c:v>
                </c:pt>
                <c:pt idx="162">
                  <c:v>-21.281045523119602</c:v>
                </c:pt>
                <c:pt idx="163">
                  <c:v>-12.0098712636358</c:v>
                </c:pt>
                <c:pt idx="164">
                  <c:v>-4.0854123687572104</c:v>
                </c:pt>
                <c:pt idx="165">
                  <c:v>11.526530770006</c:v>
                </c:pt>
                <c:pt idx="166">
                  <c:v>8.5261188674517605</c:v>
                </c:pt>
                <c:pt idx="167">
                  <c:v>3.1598295883773502</c:v>
                </c:pt>
                <c:pt idx="168">
                  <c:v>-4.1553839078373498</c:v>
                </c:pt>
                <c:pt idx="169">
                  <c:v>-11.6454842468924</c:v>
                </c:pt>
                <c:pt idx="170">
                  <c:v>-16.609982153979601</c:v>
                </c:pt>
                <c:pt idx="171">
                  <c:v>-21.997021381390699</c:v>
                </c:pt>
                <c:pt idx="172">
                  <c:v>-29.279669739884799</c:v>
                </c:pt>
                <c:pt idx="173">
                  <c:v>-22.608517118377101</c:v>
                </c:pt>
                <c:pt idx="174">
                  <c:v>-15.487204792556801</c:v>
                </c:pt>
                <c:pt idx="175">
                  <c:v>-7.66207274479933</c:v>
                </c:pt>
                <c:pt idx="176">
                  <c:v>-5.7709262460670701</c:v>
                </c:pt>
                <c:pt idx="177">
                  <c:v>2.5468077453002</c:v>
                </c:pt>
                <c:pt idx="178">
                  <c:v>4.7412710714884696</c:v>
                </c:pt>
                <c:pt idx="179">
                  <c:v>-2.2556136768511701</c:v>
                </c:pt>
                <c:pt idx="180">
                  <c:v>-7.3573400570280096</c:v>
                </c:pt>
                <c:pt idx="181">
                  <c:v>-12.332899811325101</c:v>
                </c:pt>
                <c:pt idx="182">
                  <c:v>-19.623568347302701</c:v>
                </c:pt>
                <c:pt idx="183">
                  <c:v>-23.5390050081736</c:v>
                </c:pt>
                <c:pt idx="184">
                  <c:v>-28.2044430716163</c:v>
                </c:pt>
                <c:pt idx="185">
                  <c:v>-25.473422743958899</c:v>
                </c:pt>
                <c:pt idx="186">
                  <c:v>-17.252653815431</c:v>
                </c:pt>
                <c:pt idx="187">
                  <c:v>-10.4627416586703</c:v>
                </c:pt>
                <c:pt idx="188">
                  <c:v>0.99284132419011695</c:v>
                </c:pt>
                <c:pt idx="189">
                  <c:v>0.30042321177057202</c:v>
                </c:pt>
                <c:pt idx="190">
                  <c:v>-6.0795754386312497</c:v>
                </c:pt>
                <c:pt idx="191">
                  <c:v>-13.013347143886101</c:v>
                </c:pt>
                <c:pt idx="192">
                  <c:v>-18.1526861122078</c:v>
                </c:pt>
                <c:pt idx="193">
                  <c:v>-25.5092435671217</c:v>
                </c:pt>
                <c:pt idx="194">
                  <c:v>-29.854250647706401</c:v>
                </c:pt>
                <c:pt idx="195">
                  <c:v>-31.099454768580799</c:v>
                </c:pt>
                <c:pt idx="196">
                  <c:v>-32.574813221228801</c:v>
                </c:pt>
                <c:pt idx="197">
                  <c:v>-24.090967592430701</c:v>
                </c:pt>
                <c:pt idx="198">
                  <c:v>-11.579510791805999</c:v>
                </c:pt>
                <c:pt idx="199">
                  <c:v>-5.0465529836914698</c:v>
                </c:pt>
                <c:pt idx="200">
                  <c:v>10.657654234560599</c:v>
                </c:pt>
                <c:pt idx="201">
                  <c:v>12.052695795314801</c:v>
                </c:pt>
                <c:pt idx="202">
                  <c:v>5.1251338372272102</c:v>
                </c:pt>
                <c:pt idx="203">
                  <c:v>-3.3215880651227399</c:v>
                </c:pt>
                <c:pt idx="204">
                  <c:v>-8.9375071549988601</c:v>
                </c:pt>
                <c:pt idx="205">
                  <c:v>-7.8068329008496598</c:v>
                </c:pt>
                <c:pt idx="206">
                  <c:v>-15.9157573381639</c:v>
                </c:pt>
                <c:pt idx="207">
                  <c:v>-22.404515937549501</c:v>
                </c:pt>
                <c:pt idx="208">
                  <c:v>-29.448736724091201</c:v>
                </c:pt>
                <c:pt idx="209">
                  <c:v>-21.583279520851999</c:v>
                </c:pt>
                <c:pt idx="210">
                  <c:v>-6.9383742787144396</c:v>
                </c:pt>
                <c:pt idx="211">
                  <c:v>-3.7258022498539898</c:v>
                </c:pt>
                <c:pt idx="212">
                  <c:v>-0.47561526728936199</c:v>
                </c:pt>
                <c:pt idx="213">
                  <c:v>2.9800061064338901</c:v>
                </c:pt>
                <c:pt idx="214">
                  <c:v>-7.8057981670103196</c:v>
                </c:pt>
                <c:pt idx="215">
                  <c:v>-9.6864648075974795</c:v>
                </c:pt>
                <c:pt idx="216">
                  <c:v>-15.4111252749539</c:v>
                </c:pt>
                <c:pt idx="217">
                  <c:v>-23.079343356770899</c:v>
                </c:pt>
                <c:pt idx="218">
                  <c:v>-25.798621148449801</c:v>
                </c:pt>
                <c:pt idx="219">
                  <c:v>-29.053236902338899</c:v>
                </c:pt>
                <c:pt idx="220">
                  <c:v>-33.733398426902902</c:v>
                </c:pt>
                <c:pt idx="221">
                  <c:v>-36.687505301666903</c:v>
                </c:pt>
                <c:pt idx="222">
                  <c:v>-31.230511613769</c:v>
                </c:pt>
                <c:pt idx="223">
                  <c:v>-22.591610670668501</c:v>
                </c:pt>
                <c:pt idx="224">
                  <c:v>-18.892168135029699</c:v>
                </c:pt>
                <c:pt idx="225">
                  <c:v>-16.126845814866499</c:v>
                </c:pt>
                <c:pt idx="226">
                  <c:v>-16.3153311317987</c:v>
                </c:pt>
                <c:pt idx="227">
                  <c:v>-20.864388239217401</c:v>
                </c:pt>
                <c:pt idx="228">
                  <c:v>-20.333926335555901</c:v>
                </c:pt>
                <c:pt idx="229">
                  <c:v>-27.324361015689998</c:v>
                </c:pt>
                <c:pt idx="230">
                  <c:v>-34.052667663080101</c:v>
                </c:pt>
                <c:pt idx="231">
                  <c:v>-38.789994069022598</c:v>
                </c:pt>
                <c:pt idx="232">
                  <c:v>-43.7348783208257</c:v>
                </c:pt>
                <c:pt idx="233">
                  <c:v>-42.846295845342297</c:v>
                </c:pt>
                <c:pt idx="234">
                  <c:v>-24.5878516031629</c:v>
                </c:pt>
                <c:pt idx="235">
                  <c:v>-13.687532824111599</c:v>
                </c:pt>
                <c:pt idx="236">
                  <c:v>-6.36267125943818</c:v>
                </c:pt>
                <c:pt idx="237">
                  <c:v>4.7659405734189502</c:v>
                </c:pt>
                <c:pt idx="238">
                  <c:v>-3.83852700946994</c:v>
                </c:pt>
                <c:pt idx="239">
                  <c:v>-11.6179728085375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A1-E84A-875B-AA5D87F66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445632"/>
        <c:axId val="1183749824"/>
      </c:lineChart>
      <c:catAx>
        <c:axId val="117344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3749824"/>
        <c:crossesAt val="-45"/>
        <c:auto val="1"/>
        <c:lblAlgn val="ctr"/>
        <c:lblOffset val="100"/>
        <c:noMultiLvlLbl val="0"/>
      </c:catAx>
      <c:valAx>
        <c:axId val="118374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344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'prueba grace y pozos'!$B$2</c:f>
              <c:strCache>
                <c:ptCount val="1"/>
                <c:pt idx="0">
                  <c:v>Water Equivalent Thickness – Land (GRACE, GRACE-FO JPL)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'prueba grace y pozos'!$A$3:$A$242</c:f>
              <c:numCache>
                <c:formatCode>m/d/yy</c:formatCode>
                <c:ptCount val="240"/>
                <c:pt idx="0">
                  <c:v>37363</c:v>
                </c:pt>
                <c:pt idx="1">
                  <c:v>37386</c:v>
                </c:pt>
                <c:pt idx="2">
                  <c:v>37484</c:v>
                </c:pt>
                <c:pt idx="3">
                  <c:v>37515</c:v>
                </c:pt>
                <c:pt idx="4">
                  <c:v>37545</c:v>
                </c:pt>
                <c:pt idx="5">
                  <c:v>37576</c:v>
                </c:pt>
                <c:pt idx="6">
                  <c:v>37606</c:v>
                </c:pt>
                <c:pt idx="7">
                  <c:v>37637</c:v>
                </c:pt>
                <c:pt idx="8">
                  <c:v>37667</c:v>
                </c:pt>
                <c:pt idx="9">
                  <c:v>37696</c:v>
                </c:pt>
                <c:pt idx="10">
                  <c:v>37727</c:v>
                </c:pt>
                <c:pt idx="11">
                  <c:v>37752</c:v>
                </c:pt>
                <c:pt idx="12">
                  <c:v>37818</c:v>
                </c:pt>
                <c:pt idx="13">
                  <c:v>37849</c:v>
                </c:pt>
                <c:pt idx="14">
                  <c:v>37880</c:v>
                </c:pt>
                <c:pt idx="15">
                  <c:v>37910</c:v>
                </c:pt>
                <c:pt idx="16">
                  <c:v>37941</c:v>
                </c:pt>
                <c:pt idx="17">
                  <c:v>37971</c:v>
                </c:pt>
                <c:pt idx="18">
                  <c:v>37993</c:v>
                </c:pt>
                <c:pt idx="19">
                  <c:v>38034</c:v>
                </c:pt>
                <c:pt idx="20">
                  <c:v>38062</c:v>
                </c:pt>
                <c:pt idx="21">
                  <c:v>38093</c:v>
                </c:pt>
                <c:pt idx="22">
                  <c:v>38123</c:v>
                </c:pt>
                <c:pt idx="23">
                  <c:v>38154</c:v>
                </c:pt>
                <c:pt idx="24">
                  <c:v>38184</c:v>
                </c:pt>
                <c:pt idx="25">
                  <c:v>38215</c:v>
                </c:pt>
                <c:pt idx="26">
                  <c:v>38246</c:v>
                </c:pt>
                <c:pt idx="27">
                  <c:v>38276</c:v>
                </c:pt>
                <c:pt idx="28">
                  <c:v>38307</c:v>
                </c:pt>
                <c:pt idx="29">
                  <c:v>38337</c:v>
                </c:pt>
                <c:pt idx="30">
                  <c:v>38368</c:v>
                </c:pt>
                <c:pt idx="31">
                  <c:v>38398</c:v>
                </c:pt>
                <c:pt idx="32">
                  <c:v>38427</c:v>
                </c:pt>
                <c:pt idx="33">
                  <c:v>38458</c:v>
                </c:pt>
                <c:pt idx="34">
                  <c:v>38488</c:v>
                </c:pt>
                <c:pt idx="35">
                  <c:v>38519</c:v>
                </c:pt>
                <c:pt idx="36">
                  <c:v>38549</c:v>
                </c:pt>
                <c:pt idx="37">
                  <c:v>38580</c:v>
                </c:pt>
                <c:pt idx="38">
                  <c:v>38611</c:v>
                </c:pt>
                <c:pt idx="39">
                  <c:v>38641</c:v>
                </c:pt>
                <c:pt idx="40">
                  <c:v>38672</c:v>
                </c:pt>
                <c:pt idx="41">
                  <c:v>38702</c:v>
                </c:pt>
                <c:pt idx="42">
                  <c:v>38733</c:v>
                </c:pt>
                <c:pt idx="43">
                  <c:v>38763</c:v>
                </c:pt>
                <c:pt idx="44">
                  <c:v>38792</c:v>
                </c:pt>
                <c:pt idx="45">
                  <c:v>38823</c:v>
                </c:pt>
                <c:pt idx="46">
                  <c:v>38853</c:v>
                </c:pt>
                <c:pt idx="47">
                  <c:v>38884</c:v>
                </c:pt>
                <c:pt idx="48">
                  <c:v>38914</c:v>
                </c:pt>
                <c:pt idx="49">
                  <c:v>38945</c:v>
                </c:pt>
                <c:pt idx="50">
                  <c:v>38976</c:v>
                </c:pt>
                <c:pt idx="51">
                  <c:v>39006</c:v>
                </c:pt>
                <c:pt idx="52">
                  <c:v>39037</c:v>
                </c:pt>
                <c:pt idx="53">
                  <c:v>39067</c:v>
                </c:pt>
                <c:pt idx="54">
                  <c:v>39098</c:v>
                </c:pt>
                <c:pt idx="55">
                  <c:v>39128</c:v>
                </c:pt>
                <c:pt idx="56">
                  <c:v>39157</c:v>
                </c:pt>
                <c:pt idx="57">
                  <c:v>39188</c:v>
                </c:pt>
                <c:pt idx="58">
                  <c:v>39218</c:v>
                </c:pt>
                <c:pt idx="59">
                  <c:v>39249</c:v>
                </c:pt>
                <c:pt idx="60">
                  <c:v>39279</c:v>
                </c:pt>
                <c:pt idx="61">
                  <c:v>39310</c:v>
                </c:pt>
                <c:pt idx="62">
                  <c:v>39341</c:v>
                </c:pt>
                <c:pt idx="63">
                  <c:v>39371</c:v>
                </c:pt>
                <c:pt idx="64">
                  <c:v>39402</c:v>
                </c:pt>
                <c:pt idx="65">
                  <c:v>39432</c:v>
                </c:pt>
                <c:pt idx="66">
                  <c:v>39463</c:v>
                </c:pt>
                <c:pt idx="67">
                  <c:v>39493</c:v>
                </c:pt>
                <c:pt idx="68">
                  <c:v>39523</c:v>
                </c:pt>
                <c:pt idx="69">
                  <c:v>39554</c:v>
                </c:pt>
                <c:pt idx="70">
                  <c:v>39584</c:v>
                </c:pt>
                <c:pt idx="71">
                  <c:v>39615</c:v>
                </c:pt>
                <c:pt idx="72">
                  <c:v>39645</c:v>
                </c:pt>
                <c:pt idx="73">
                  <c:v>39676</c:v>
                </c:pt>
                <c:pt idx="74">
                  <c:v>39707</c:v>
                </c:pt>
                <c:pt idx="75">
                  <c:v>39737</c:v>
                </c:pt>
                <c:pt idx="76">
                  <c:v>39768</c:v>
                </c:pt>
                <c:pt idx="77">
                  <c:v>39798</c:v>
                </c:pt>
                <c:pt idx="78">
                  <c:v>39829</c:v>
                </c:pt>
                <c:pt idx="79">
                  <c:v>39859</c:v>
                </c:pt>
                <c:pt idx="80">
                  <c:v>39888</c:v>
                </c:pt>
                <c:pt idx="81">
                  <c:v>39919</c:v>
                </c:pt>
                <c:pt idx="82">
                  <c:v>39949</c:v>
                </c:pt>
                <c:pt idx="83">
                  <c:v>39980</c:v>
                </c:pt>
                <c:pt idx="84">
                  <c:v>40010</c:v>
                </c:pt>
                <c:pt idx="85">
                  <c:v>40041</c:v>
                </c:pt>
                <c:pt idx="86">
                  <c:v>40072</c:v>
                </c:pt>
                <c:pt idx="87">
                  <c:v>40102</c:v>
                </c:pt>
                <c:pt idx="88">
                  <c:v>40133</c:v>
                </c:pt>
                <c:pt idx="89">
                  <c:v>40163</c:v>
                </c:pt>
                <c:pt idx="90">
                  <c:v>40194</c:v>
                </c:pt>
                <c:pt idx="91">
                  <c:v>40224</c:v>
                </c:pt>
                <c:pt idx="92">
                  <c:v>40253</c:v>
                </c:pt>
                <c:pt idx="93">
                  <c:v>40284</c:v>
                </c:pt>
                <c:pt idx="94">
                  <c:v>40314</c:v>
                </c:pt>
                <c:pt idx="95">
                  <c:v>40345</c:v>
                </c:pt>
                <c:pt idx="96">
                  <c:v>40375</c:v>
                </c:pt>
                <c:pt idx="97">
                  <c:v>40406</c:v>
                </c:pt>
                <c:pt idx="98">
                  <c:v>40437</c:v>
                </c:pt>
                <c:pt idx="99">
                  <c:v>40467</c:v>
                </c:pt>
                <c:pt idx="100">
                  <c:v>40498</c:v>
                </c:pt>
                <c:pt idx="101">
                  <c:v>40526</c:v>
                </c:pt>
                <c:pt idx="102">
                  <c:v>40592</c:v>
                </c:pt>
                <c:pt idx="103">
                  <c:v>40618</c:v>
                </c:pt>
                <c:pt idx="104">
                  <c:v>40649</c:v>
                </c:pt>
                <c:pt idx="105">
                  <c:v>40679</c:v>
                </c:pt>
                <c:pt idx="106">
                  <c:v>40742</c:v>
                </c:pt>
                <c:pt idx="107">
                  <c:v>40771</c:v>
                </c:pt>
                <c:pt idx="108">
                  <c:v>40802</c:v>
                </c:pt>
                <c:pt idx="109">
                  <c:v>40832</c:v>
                </c:pt>
                <c:pt idx="110">
                  <c:v>40848</c:v>
                </c:pt>
                <c:pt idx="111">
                  <c:v>40909</c:v>
                </c:pt>
                <c:pt idx="112">
                  <c:v>40924</c:v>
                </c:pt>
                <c:pt idx="113">
                  <c:v>40954</c:v>
                </c:pt>
                <c:pt idx="114">
                  <c:v>40984</c:v>
                </c:pt>
                <c:pt idx="115">
                  <c:v>41003</c:v>
                </c:pt>
                <c:pt idx="116">
                  <c:v>41076</c:v>
                </c:pt>
                <c:pt idx="117">
                  <c:v>41106</c:v>
                </c:pt>
                <c:pt idx="118">
                  <c:v>41137</c:v>
                </c:pt>
                <c:pt idx="119">
                  <c:v>41165</c:v>
                </c:pt>
                <c:pt idx="120">
                  <c:v>41231</c:v>
                </c:pt>
                <c:pt idx="121">
                  <c:v>41259</c:v>
                </c:pt>
                <c:pt idx="122">
                  <c:v>41290</c:v>
                </c:pt>
                <c:pt idx="123">
                  <c:v>41319</c:v>
                </c:pt>
                <c:pt idx="124">
                  <c:v>41385</c:v>
                </c:pt>
                <c:pt idx="125">
                  <c:v>41410</c:v>
                </c:pt>
                <c:pt idx="126">
                  <c:v>41441</c:v>
                </c:pt>
                <c:pt idx="127">
                  <c:v>41471</c:v>
                </c:pt>
                <c:pt idx="128">
                  <c:v>41563</c:v>
                </c:pt>
                <c:pt idx="129">
                  <c:v>41594</c:v>
                </c:pt>
                <c:pt idx="130">
                  <c:v>41624</c:v>
                </c:pt>
                <c:pt idx="131">
                  <c:v>41648</c:v>
                </c:pt>
                <c:pt idx="132">
                  <c:v>41714</c:v>
                </c:pt>
                <c:pt idx="133">
                  <c:v>41745</c:v>
                </c:pt>
                <c:pt idx="134">
                  <c:v>41775</c:v>
                </c:pt>
                <c:pt idx="135">
                  <c:v>41803</c:v>
                </c:pt>
                <c:pt idx="136">
                  <c:v>41867</c:v>
                </c:pt>
                <c:pt idx="137">
                  <c:v>41898</c:v>
                </c:pt>
                <c:pt idx="138">
                  <c:v>41928</c:v>
                </c:pt>
                <c:pt idx="139">
                  <c:v>41960</c:v>
                </c:pt>
                <c:pt idx="140">
                  <c:v>42026</c:v>
                </c:pt>
                <c:pt idx="141">
                  <c:v>42050</c:v>
                </c:pt>
                <c:pt idx="142">
                  <c:v>42079</c:v>
                </c:pt>
                <c:pt idx="143">
                  <c:v>42110</c:v>
                </c:pt>
                <c:pt idx="144">
                  <c:v>42121</c:v>
                </c:pt>
                <c:pt idx="145">
                  <c:v>42200</c:v>
                </c:pt>
                <c:pt idx="146">
                  <c:v>42232</c:v>
                </c:pt>
                <c:pt idx="147">
                  <c:v>42261</c:v>
                </c:pt>
                <c:pt idx="148">
                  <c:v>42361</c:v>
                </c:pt>
                <c:pt idx="149">
                  <c:v>42385</c:v>
                </c:pt>
                <c:pt idx="150">
                  <c:v>42414</c:v>
                </c:pt>
                <c:pt idx="151">
                  <c:v>42445</c:v>
                </c:pt>
                <c:pt idx="152">
                  <c:v>42510</c:v>
                </c:pt>
                <c:pt idx="153">
                  <c:v>42537</c:v>
                </c:pt>
                <c:pt idx="154">
                  <c:v>42566</c:v>
                </c:pt>
                <c:pt idx="155">
                  <c:v>42603</c:v>
                </c:pt>
                <c:pt idx="156">
                  <c:v>42701</c:v>
                </c:pt>
                <c:pt idx="157">
                  <c:v>42728</c:v>
                </c:pt>
                <c:pt idx="158">
                  <c:v>42756</c:v>
                </c:pt>
                <c:pt idx="159">
                  <c:v>42825</c:v>
                </c:pt>
                <c:pt idx="160">
                  <c:v>42849</c:v>
                </c:pt>
                <c:pt idx="161">
                  <c:v>42867</c:v>
                </c:pt>
                <c:pt idx="162">
                  <c:v>42897</c:v>
                </c:pt>
                <c:pt idx="163">
                  <c:v>43267</c:v>
                </c:pt>
                <c:pt idx="164">
                  <c:v>43291</c:v>
                </c:pt>
                <c:pt idx="165">
                  <c:v>43404</c:v>
                </c:pt>
                <c:pt idx="166">
                  <c:v>43420</c:v>
                </c:pt>
                <c:pt idx="167">
                  <c:v>43450</c:v>
                </c:pt>
                <c:pt idx="168">
                  <c:v>43481</c:v>
                </c:pt>
                <c:pt idx="169">
                  <c:v>43510</c:v>
                </c:pt>
                <c:pt idx="170">
                  <c:v>43540</c:v>
                </c:pt>
                <c:pt idx="171">
                  <c:v>43571</c:v>
                </c:pt>
                <c:pt idx="172">
                  <c:v>43601</c:v>
                </c:pt>
                <c:pt idx="173">
                  <c:v>43632</c:v>
                </c:pt>
                <c:pt idx="174">
                  <c:v>43662</c:v>
                </c:pt>
                <c:pt idx="175">
                  <c:v>43693</c:v>
                </c:pt>
                <c:pt idx="176">
                  <c:v>43724</c:v>
                </c:pt>
                <c:pt idx="177">
                  <c:v>43754</c:v>
                </c:pt>
                <c:pt idx="178">
                  <c:v>43785</c:v>
                </c:pt>
                <c:pt idx="179">
                  <c:v>43815</c:v>
                </c:pt>
                <c:pt idx="180">
                  <c:v>43846</c:v>
                </c:pt>
                <c:pt idx="181">
                  <c:v>43876</c:v>
                </c:pt>
                <c:pt idx="182">
                  <c:v>43906</c:v>
                </c:pt>
                <c:pt idx="183">
                  <c:v>43937</c:v>
                </c:pt>
                <c:pt idx="184">
                  <c:v>43967</c:v>
                </c:pt>
                <c:pt idx="185">
                  <c:v>43998</c:v>
                </c:pt>
                <c:pt idx="186">
                  <c:v>44028</c:v>
                </c:pt>
                <c:pt idx="187">
                  <c:v>44059</c:v>
                </c:pt>
                <c:pt idx="188">
                  <c:v>44090</c:v>
                </c:pt>
                <c:pt idx="189">
                  <c:v>44120</c:v>
                </c:pt>
                <c:pt idx="190">
                  <c:v>44151</c:v>
                </c:pt>
                <c:pt idx="191">
                  <c:v>44181</c:v>
                </c:pt>
                <c:pt idx="192">
                  <c:v>44212</c:v>
                </c:pt>
                <c:pt idx="193">
                  <c:v>44242</c:v>
                </c:pt>
                <c:pt idx="194">
                  <c:v>44271</c:v>
                </c:pt>
                <c:pt idx="195">
                  <c:v>44302</c:v>
                </c:pt>
                <c:pt idx="196">
                  <c:v>44332</c:v>
                </c:pt>
                <c:pt idx="197">
                  <c:v>44363</c:v>
                </c:pt>
                <c:pt idx="198">
                  <c:v>44393</c:v>
                </c:pt>
                <c:pt idx="199">
                  <c:v>44424</c:v>
                </c:pt>
                <c:pt idx="200">
                  <c:v>44455</c:v>
                </c:pt>
                <c:pt idx="201">
                  <c:v>44485</c:v>
                </c:pt>
                <c:pt idx="202">
                  <c:v>44516</c:v>
                </c:pt>
                <c:pt idx="203">
                  <c:v>44546</c:v>
                </c:pt>
                <c:pt idx="204">
                  <c:v>44577</c:v>
                </c:pt>
                <c:pt idx="205">
                  <c:v>44607</c:v>
                </c:pt>
                <c:pt idx="206">
                  <c:v>44636</c:v>
                </c:pt>
                <c:pt idx="207">
                  <c:v>44667</c:v>
                </c:pt>
                <c:pt idx="208">
                  <c:v>44697</c:v>
                </c:pt>
                <c:pt idx="209">
                  <c:v>44728</c:v>
                </c:pt>
                <c:pt idx="210">
                  <c:v>44758</c:v>
                </c:pt>
                <c:pt idx="211">
                  <c:v>44789</c:v>
                </c:pt>
                <c:pt idx="212">
                  <c:v>44820</c:v>
                </c:pt>
                <c:pt idx="213">
                  <c:v>44850</c:v>
                </c:pt>
                <c:pt idx="214">
                  <c:v>44881</c:v>
                </c:pt>
                <c:pt idx="215">
                  <c:v>44911</c:v>
                </c:pt>
                <c:pt idx="216">
                  <c:v>44942</c:v>
                </c:pt>
                <c:pt idx="217">
                  <c:v>44972</c:v>
                </c:pt>
                <c:pt idx="218">
                  <c:v>45001</c:v>
                </c:pt>
                <c:pt idx="219">
                  <c:v>45032</c:v>
                </c:pt>
                <c:pt idx="220">
                  <c:v>45062</c:v>
                </c:pt>
                <c:pt idx="221">
                  <c:v>45093</c:v>
                </c:pt>
                <c:pt idx="222">
                  <c:v>45123</c:v>
                </c:pt>
                <c:pt idx="223">
                  <c:v>45154</c:v>
                </c:pt>
                <c:pt idx="224">
                  <c:v>45185</c:v>
                </c:pt>
                <c:pt idx="225">
                  <c:v>45215</c:v>
                </c:pt>
                <c:pt idx="226">
                  <c:v>45246</c:v>
                </c:pt>
                <c:pt idx="227">
                  <c:v>45276</c:v>
                </c:pt>
                <c:pt idx="228">
                  <c:v>45307</c:v>
                </c:pt>
                <c:pt idx="229">
                  <c:v>45337</c:v>
                </c:pt>
                <c:pt idx="230">
                  <c:v>45367</c:v>
                </c:pt>
                <c:pt idx="231">
                  <c:v>45398</c:v>
                </c:pt>
                <c:pt idx="232">
                  <c:v>45428</c:v>
                </c:pt>
                <c:pt idx="233">
                  <c:v>45459</c:v>
                </c:pt>
                <c:pt idx="234">
                  <c:v>45489</c:v>
                </c:pt>
                <c:pt idx="235">
                  <c:v>45520</c:v>
                </c:pt>
                <c:pt idx="236">
                  <c:v>45551</c:v>
                </c:pt>
                <c:pt idx="237">
                  <c:v>45581</c:v>
                </c:pt>
                <c:pt idx="238">
                  <c:v>45612</c:v>
                </c:pt>
                <c:pt idx="239">
                  <c:v>45642</c:v>
                </c:pt>
              </c:numCache>
            </c:numRef>
          </c:cat>
          <c:val>
            <c:numRef>
              <c:f>'prueba grace y pozos'!$B$3:$B$242</c:f>
              <c:numCache>
                <c:formatCode>0.00</c:formatCode>
                <c:ptCount val="240"/>
                <c:pt idx="0">
                  <c:v>-11.8944489272511</c:v>
                </c:pt>
                <c:pt idx="1">
                  <c:v>-15.399317401108799</c:v>
                </c:pt>
                <c:pt idx="2">
                  <c:v>1.0798434399799099</c:v>
                </c:pt>
                <c:pt idx="3">
                  <c:v>14.4724057199232</c:v>
                </c:pt>
                <c:pt idx="4">
                  <c:v>19.007429977299999</c:v>
                </c:pt>
                <c:pt idx="5">
                  <c:v>16.235068784447801</c:v>
                </c:pt>
                <c:pt idx="6">
                  <c:v>10.9042083782874</c:v>
                </c:pt>
                <c:pt idx="7">
                  <c:v>7.2877647666060099</c:v>
                </c:pt>
                <c:pt idx="8">
                  <c:v>-2.7430210617571298</c:v>
                </c:pt>
                <c:pt idx="9">
                  <c:v>-8.6739991387552795</c:v>
                </c:pt>
                <c:pt idx="10">
                  <c:v>-15.758955432680899</c:v>
                </c:pt>
                <c:pt idx="11">
                  <c:v>-20.014076814634201</c:v>
                </c:pt>
                <c:pt idx="12">
                  <c:v>4.0164043826549003</c:v>
                </c:pt>
                <c:pt idx="13">
                  <c:v>10.8415119772576</c:v>
                </c:pt>
                <c:pt idx="14">
                  <c:v>16.663091070371099</c:v>
                </c:pt>
                <c:pt idx="15">
                  <c:v>23.91724170314</c:v>
                </c:pt>
                <c:pt idx="16">
                  <c:v>21.3430874043875</c:v>
                </c:pt>
                <c:pt idx="17">
                  <c:v>11.042636979723699</c:v>
                </c:pt>
                <c:pt idx="18">
                  <c:v>8.3038450650670299</c:v>
                </c:pt>
                <c:pt idx="19">
                  <c:v>0.59408571629642704</c:v>
                </c:pt>
                <c:pt idx="20">
                  <c:v>-5.9103054186529702</c:v>
                </c:pt>
                <c:pt idx="21">
                  <c:v>-9.7857981777019099</c:v>
                </c:pt>
                <c:pt idx="22">
                  <c:v>-12.526884856281301</c:v>
                </c:pt>
                <c:pt idx="23">
                  <c:v>-1.2844791599749801</c:v>
                </c:pt>
                <c:pt idx="24">
                  <c:v>5.2926968141724098</c:v>
                </c:pt>
                <c:pt idx="25">
                  <c:v>7.6894514671326304</c:v>
                </c:pt>
                <c:pt idx="26">
                  <c:v>12.875836285183601</c:v>
                </c:pt>
                <c:pt idx="27">
                  <c:v>20.3891989247672</c:v>
                </c:pt>
                <c:pt idx="28">
                  <c:v>14.590001472624399</c:v>
                </c:pt>
                <c:pt idx="29">
                  <c:v>8.2367682218351099</c:v>
                </c:pt>
                <c:pt idx="30">
                  <c:v>2.0561591625478699</c:v>
                </c:pt>
                <c:pt idx="31">
                  <c:v>-3.97216825803884</c:v>
                </c:pt>
                <c:pt idx="32">
                  <c:v>-10.412027327922599</c:v>
                </c:pt>
                <c:pt idx="33">
                  <c:v>-11.724331241679799</c:v>
                </c:pt>
                <c:pt idx="34">
                  <c:v>-19.1976582525498</c:v>
                </c:pt>
                <c:pt idx="35">
                  <c:v>-19.288237743658499</c:v>
                </c:pt>
                <c:pt idx="36">
                  <c:v>-1.53984442504265</c:v>
                </c:pt>
                <c:pt idx="37">
                  <c:v>6.4523865476981399</c:v>
                </c:pt>
                <c:pt idx="38">
                  <c:v>13.8431722702258</c:v>
                </c:pt>
                <c:pt idx="39">
                  <c:v>17.243346338512801</c:v>
                </c:pt>
                <c:pt idx="40">
                  <c:v>10.6707625010781</c:v>
                </c:pt>
                <c:pt idx="41">
                  <c:v>3.3589345808173201</c:v>
                </c:pt>
                <c:pt idx="42">
                  <c:v>-4.6996428664974097</c:v>
                </c:pt>
                <c:pt idx="43">
                  <c:v>-10.346920228210699</c:v>
                </c:pt>
                <c:pt idx="44">
                  <c:v>-11.9867257090485</c:v>
                </c:pt>
                <c:pt idx="45">
                  <c:v>-17.538450280783199</c:v>
                </c:pt>
                <c:pt idx="46">
                  <c:v>-17.958793920112299</c:v>
                </c:pt>
                <c:pt idx="47">
                  <c:v>-12.6345806705034</c:v>
                </c:pt>
                <c:pt idx="48">
                  <c:v>-2.7370351395770198</c:v>
                </c:pt>
                <c:pt idx="49">
                  <c:v>8.1890544280209294</c:v>
                </c:pt>
                <c:pt idx="50">
                  <c:v>11.098466565253601</c:v>
                </c:pt>
                <c:pt idx="51">
                  <c:v>15.8707243161075</c:v>
                </c:pt>
                <c:pt idx="52">
                  <c:v>16.660304346474302</c:v>
                </c:pt>
                <c:pt idx="53">
                  <c:v>13.7368263000421</c:v>
                </c:pt>
                <c:pt idx="54">
                  <c:v>6.8731892200917599</c:v>
                </c:pt>
                <c:pt idx="55">
                  <c:v>-2.1429225347205301</c:v>
                </c:pt>
                <c:pt idx="56">
                  <c:v>-6.5094018304921004</c:v>
                </c:pt>
                <c:pt idx="57">
                  <c:v>-13.2875953396982</c:v>
                </c:pt>
                <c:pt idx="58">
                  <c:v>-14.759399399740101</c:v>
                </c:pt>
                <c:pt idx="59">
                  <c:v>-12.391791953352699</c:v>
                </c:pt>
                <c:pt idx="60">
                  <c:v>-6.2690367555446196</c:v>
                </c:pt>
                <c:pt idx="61">
                  <c:v>0.400401051275872</c:v>
                </c:pt>
                <c:pt idx="62">
                  <c:v>18.305674963983201</c:v>
                </c:pt>
                <c:pt idx="63">
                  <c:v>19.696853007542401</c:v>
                </c:pt>
                <c:pt idx="64">
                  <c:v>10.723504606055499</c:v>
                </c:pt>
                <c:pt idx="65">
                  <c:v>4.7423318728138399</c:v>
                </c:pt>
                <c:pt idx="66">
                  <c:v>1.8505284616290301</c:v>
                </c:pt>
                <c:pt idx="67">
                  <c:v>-7.0347588757253501</c:v>
                </c:pt>
                <c:pt idx="68">
                  <c:v>-11.221964702588901</c:v>
                </c:pt>
                <c:pt idx="69">
                  <c:v>-17.9089796269513</c:v>
                </c:pt>
                <c:pt idx="70">
                  <c:v>-19.034546325562001</c:v>
                </c:pt>
                <c:pt idx="71">
                  <c:v>-12.9169521281696</c:v>
                </c:pt>
                <c:pt idx="72">
                  <c:v>6.5371237251707104</c:v>
                </c:pt>
                <c:pt idx="73">
                  <c:v>9.8542658634283296</c:v>
                </c:pt>
                <c:pt idx="74">
                  <c:v>17.9735650526159</c:v>
                </c:pt>
                <c:pt idx="75">
                  <c:v>22.860814667659302</c:v>
                </c:pt>
                <c:pt idx="76">
                  <c:v>13.511168591099301</c:v>
                </c:pt>
                <c:pt idx="77">
                  <c:v>4.06905048305957</c:v>
                </c:pt>
                <c:pt idx="78">
                  <c:v>0.49166406772888399</c:v>
                </c:pt>
                <c:pt idx="79">
                  <c:v>-3.6445049863509098</c:v>
                </c:pt>
                <c:pt idx="80">
                  <c:v>-10.9961584085799</c:v>
                </c:pt>
                <c:pt idx="81">
                  <c:v>-14.6269091392136</c:v>
                </c:pt>
                <c:pt idx="82">
                  <c:v>-17.4358210569448</c:v>
                </c:pt>
                <c:pt idx="83">
                  <c:v>-11.1352126455134</c:v>
                </c:pt>
                <c:pt idx="84">
                  <c:v>-4.0203102581403396</c:v>
                </c:pt>
                <c:pt idx="85">
                  <c:v>-5.2464659694782698</c:v>
                </c:pt>
                <c:pt idx="86">
                  <c:v>5.2394456077632201</c:v>
                </c:pt>
                <c:pt idx="87">
                  <c:v>12.510355286652601</c:v>
                </c:pt>
                <c:pt idx="88">
                  <c:v>7.5883758593150104</c:v>
                </c:pt>
                <c:pt idx="89">
                  <c:v>3.7462819012612698</c:v>
                </c:pt>
                <c:pt idx="90">
                  <c:v>-1.3749033567696101</c:v>
                </c:pt>
                <c:pt idx="91">
                  <c:v>4.3015209565669901</c:v>
                </c:pt>
                <c:pt idx="92">
                  <c:v>-4.2620934426344598E-2</c:v>
                </c:pt>
                <c:pt idx="93">
                  <c:v>-6.03011345548697</c:v>
                </c:pt>
                <c:pt idx="94">
                  <c:v>-16.661020959374898</c:v>
                </c:pt>
                <c:pt idx="95">
                  <c:v>-13.309627799896001</c:v>
                </c:pt>
                <c:pt idx="96">
                  <c:v>0.156031950263746</c:v>
                </c:pt>
                <c:pt idx="97">
                  <c:v>18.730560877712801</c:v>
                </c:pt>
                <c:pt idx="98">
                  <c:v>30.324440787898801</c:v>
                </c:pt>
                <c:pt idx="99">
                  <c:v>24.909859951006599</c:v>
                </c:pt>
                <c:pt idx="100">
                  <c:v>13.680993710997001</c:v>
                </c:pt>
                <c:pt idx="101">
                  <c:v>8.5577950844340602</c:v>
                </c:pt>
                <c:pt idx="102">
                  <c:v>-3.68393173033513</c:v>
                </c:pt>
                <c:pt idx="103">
                  <c:v>-8.8371090354598394</c:v>
                </c:pt>
                <c:pt idx="104">
                  <c:v>-13.7864056291259</c:v>
                </c:pt>
                <c:pt idx="105">
                  <c:v>-16.777421726492701</c:v>
                </c:pt>
                <c:pt idx="106">
                  <c:v>11.1554859172352</c:v>
                </c:pt>
                <c:pt idx="107">
                  <c:v>15.517464860694901</c:v>
                </c:pt>
                <c:pt idx="108">
                  <c:v>21.2161672519319</c:v>
                </c:pt>
                <c:pt idx="109">
                  <c:v>21.0419872211091</c:v>
                </c:pt>
                <c:pt idx="110">
                  <c:v>17.971421615573</c:v>
                </c:pt>
                <c:pt idx="111">
                  <c:v>5.2280223645534996</c:v>
                </c:pt>
                <c:pt idx="112">
                  <c:v>2.14636482185192</c:v>
                </c:pt>
                <c:pt idx="113">
                  <c:v>-3.2019408621094398</c:v>
                </c:pt>
                <c:pt idx="114">
                  <c:v>-10.742952606288201</c:v>
                </c:pt>
                <c:pt idx="115">
                  <c:v>-12.0897101486302</c:v>
                </c:pt>
                <c:pt idx="116">
                  <c:v>-10.6558208508617</c:v>
                </c:pt>
                <c:pt idx="117">
                  <c:v>2.5380692138747198</c:v>
                </c:pt>
                <c:pt idx="118">
                  <c:v>14.280266597288101</c:v>
                </c:pt>
                <c:pt idx="119">
                  <c:v>14.6212411833726</c:v>
                </c:pt>
                <c:pt idx="120">
                  <c:v>7.9696879274011296</c:v>
                </c:pt>
                <c:pt idx="121">
                  <c:v>5.4573275552862004</c:v>
                </c:pt>
                <c:pt idx="122">
                  <c:v>-2.56787308083989</c:v>
                </c:pt>
                <c:pt idx="123">
                  <c:v>-8.7483933983571092</c:v>
                </c:pt>
                <c:pt idx="124">
                  <c:v>-17.919278471378099</c:v>
                </c:pt>
                <c:pt idx="125">
                  <c:v>-20.477049060744701</c:v>
                </c:pt>
                <c:pt idx="126">
                  <c:v>-14.8890765203363</c:v>
                </c:pt>
                <c:pt idx="127">
                  <c:v>-3.0671984568438702</c:v>
                </c:pt>
                <c:pt idx="128">
                  <c:v>22.363127219843101</c:v>
                </c:pt>
                <c:pt idx="129">
                  <c:v>18.437701073827601</c:v>
                </c:pt>
                <c:pt idx="130">
                  <c:v>10.3587925903298</c:v>
                </c:pt>
                <c:pt idx="131">
                  <c:v>9.8800372633882496</c:v>
                </c:pt>
                <c:pt idx="132">
                  <c:v>-11.9879792245305</c:v>
                </c:pt>
                <c:pt idx="133">
                  <c:v>-10.781183787269001</c:v>
                </c:pt>
                <c:pt idx="134">
                  <c:v>-12.9983907757527</c:v>
                </c:pt>
                <c:pt idx="135">
                  <c:v>-2.7237136779553501</c:v>
                </c:pt>
                <c:pt idx="136">
                  <c:v>9.0719473970853404</c:v>
                </c:pt>
                <c:pt idx="137">
                  <c:v>16.718441930951901</c:v>
                </c:pt>
                <c:pt idx="138">
                  <c:v>20.754624492841199</c:v>
                </c:pt>
                <c:pt idx="139">
                  <c:v>14.7765221161567</c:v>
                </c:pt>
                <c:pt idx="140">
                  <c:v>3.0287185871889499</c:v>
                </c:pt>
                <c:pt idx="141">
                  <c:v>-6.2482347149602404</c:v>
                </c:pt>
                <c:pt idx="142">
                  <c:v>-0.76588880980529594</c:v>
                </c:pt>
                <c:pt idx="143">
                  <c:v>-10.08912597282</c:v>
                </c:pt>
                <c:pt idx="144">
                  <c:v>-13.3027566081113</c:v>
                </c:pt>
                <c:pt idx="145">
                  <c:v>0.58182638406611198</c:v>
                </c:pt>
                <c:pt idx="146">
                  <c:v>-5.6470148159391496</c:v>
                </c:pt>
                <c:pt idx="147">
                  <c:v>1.56952213123764</c:v>
                </c:pt>
                <c:pt idx="148">
                  <c:v>6.4629169370778499</c:v>
                </c:pt>
                <c:pt idx="149">
                  <c:v>-0.64588293537639796</c:v>
                </c:pt>
                <c:pt idx="150">
                  <c:v>-11.3202194260633</c:v>
                </c:pt>
                <c:pt idx="151">
                  <c:v>-10.118954869566</c:v>
                </c:pt>
                <c:pt idx="152">
                  <c:v>-21.33451508416</c:v>
                </c:pt>
                <c:pt idx="153">
                  <c:v>-14.8302487159348</c:v>
                </c:pt>
                <c:pt idx="154">
                  <c:v>-7.7696021773121497</c:v>
                </c:pt>
                <c:pt idx="155">
                  <c:v>1.6668197710565</c:v>
                </c:pt>
                <c:pt idx="156">
                  <c:v>2.3625828861145699</c:v>
                </c:pt>
                <c:pt idx="157">
                  <c:v>1.0095034077563001</c:v>
                </c:pt>
                <c:pt idx="158">
                  <c:v>-4.4611399486861396</c:v>
                </c:pt>
                <c:pt idx="159">
                  <c:v>-14.702708440480301</c:v>
                </c:pt>
                <c:pt idx="160">
                  <c:v>-16.457579615173401</c:v>
                </c:pt>
                <c:pt idx="161">
                  <c:v>-21.838005371970599</c:v>
                </c:pt>
                <c:pt idx="162">
                  <c:v>-21.281045523119602</c:v>
                </c:pt>
                <c:pt idx="163">
                  <c:v>-12.0098712636358</c:v>
                </c:pt>
                <c:pt idx="164">
                  <c:v>-4.0854123687572104</c:v>
                </c:pt>
                <c:pt idx="165">
                  <c:v>11.526530770006</c:v>
                </c:pt>
                <c:pt idx="166">
                  <c:v>8.5261188674517605</c:v>
                </c:pt>
                <c:pt idx="167">
                  <c:v>3.1598295883773502</c:v>
                </c:pt>
                <c:pt idx="168">
                  <c:v>-4.1553839078373498</c:v>
                </c:pt>
                <c:pt idx="169">
                  <c:v>-11.6454842468924</c:v>
                </c:pt>
                <c:pt idx="170">
                  <c:v>-16.609982153979601</c:v>
                </c:pt>
                <c:pt idx="171">
                  <c:v>-21.997021381390699</c:v>
                </c:pt>
                <c:pt idx="172">
                  <c:v>-29.279669739884799</c:v>
                </c:pt>
                <c:pt idx="173">
                  <c:v>-22.608517118377101</c:v>
                </c:pt>
                <c:pt idx="174">
                  <c:v>-15.487204792556801</c:v>
                </c:pt>
                <c:pt idx="175">
                  <c:v>-7.66207274479933</c:v>
                </c:pt>
                <c:pt idx="176">
                  <c:v>-5.7709262460670701</c:v>
                </c:pt>
                <c:pt idx="177">
                  <c:v>2.5468077453002</c:v>
                </c:pt>
                <c:pt idx="178">
                  <c:v>4.7412710714884696</c:v>
                </c:pt>
                <c:pt idx="179">
                  <c:v>-2.2556136768511701</c:v>
                </c:pt>
                <c:pt idx="180">
                  <c:v>-7.3573400570280096</c:v>
                </c:pt>
                <c:pt idx="181">
                  <c:v>-12.332899811325101</c:v>
                </c:pt>
                <c:pt idx="182">
                  <c:v>-19.623568347302701</c:v>
                </c:pt>
                <c:pt idx="183">
                  <c:v>-23.5390050081736</c:v>
                </c:pt>
                <c:pt idx="184">
                  <c:v>-28.2044430716163</c:v>
                </c:pt>
                <c:pt idx="185">
                  <c:v>-25.473422743958899</c:v>
                </c:pt>
                <c:pt idx="186">
                  <c:v>-17.252653815431</c:v>
                </c:pt>
                <c:pt idx="187">
                  <c:v>-10.4627416586703</c:v>
                </c:pt>
                <c:pt idx="188">
                  <c:v>0.99284132419011695</c:v>
                </c:pt>
                <c:pt idx="189">
                  <c:v>0.30042321177057202</c:v>
                </c:pt>
                <c:pt idx="190">
                  <c:v>-6.0795754386312497</c:v>
                </c:pt>
                <c:pt idx="191">
                  <c:v>-13.013347143886101</c:v>
                </c:pt>
                <c:pt idx="192">
                  <c:v>-18.1526861122078</c:v>
                </c:pt>
                <c:pt idx="193">
                  <c:v>-25.5092435671217</c:v>
                </c:pt>
                <c:pt idx="194">
                  <c:v>-29.854250647706401</c:v>
                </c:pt>
                <c:pt idx="195">
                  <c:v>-31.099454768580799</c:v>
                </c:pt>
                <c:pt idx="196">
                  <c:v>-32.574813221228801</c:v>
                </c:pt>
                <c:pt idx="197">
                  <c:v>-24.090967592430701</c:v>
                </c:pt>
                <c:pt idx="198">
                  <c:v>-11.579510791805999</c:v>
                </c:pt>
                <c:pt idx="199">
                  <c:v>-5.0465529836914698</c:v>
                </c:pt>
                <c:pt idx="200">
                  <c:v>10.657654234560599</c:v>
                </c:pt>
                <c:pt idx="201">
                  <c:v>12.052695795314801</c:v>
                </c:pt>
                <c:pt idx="202">
                  <c:v>5.1251338372272102</c:v>
                </c:pt>
                <c:pt idx="203">
                  <c:v>-3.3215880651227399</c:v>
                </c:pt>
                <c:pt idx="204">
                  <c:v>-8.9375071549988601</c:v>
                </c:pt>
                <c:pt idx="205">
                  <c:v>-7.8068329008496598</c:v>
                </c:pt>
                <c:pt idx="206">
                  <c:v>-15.9157573381639</c:v>
                </c:pt>
                <c:pt idx="207">
                  <c:v>-22.404515937549501</c:v>
                </c:pt>
                <c:pt idx="208">
                  <c:v>-29.448736724091201</c:v>
                </c:pt>
                <c:pt idx="209">
                  <c:v>-21.583279520851999</c:v>
                </c:pt>
                <c:pt idx="210">
                  <c:v>-6.9383742787144396</c:v>
                </c:pt>
                <c:pt idx="211">
                  <c:v>-3.7258022498539898</c:v>
                </c:pt>
                <c:pt idx="212">
                  <c:v>-0.47561526728936199</c:v>
                </c:pt>
                <c:pt idx="213">
                  <c:v>2.9800061064338901</c:v>
                </c:pt>
                <c:pt idx="214">
                  <c:v>-7.8057981670103196</c:v>
                </c:pt>
                <c:pt idx="215">
                  <c:v>-9.6864648075974795</c:v>
                </c:pt>
                <c:pt idx="216">
                  <c:v>-15.4111252749539</c:v>
                </c:pt>
                <c:pt idx="217">
                  <c:v>-23.079343356770899</c:v>
                </c:pt>
                <c:pt idx="218">
                  <c:v>-25.798621148449801</c:v>
                </c:pt>
                <c:pt idx="219">
                  <c:v>-29.053236902338899</c:v>
                </c:pt>
                <c:pt idx="220">
                  <c:v>-33.733398426902902</c:v>
                </c:pt>
                <c:pt idx="221">
                  <c:v>-36.687505301666903</c:v>
                </c:pt>
                <c:pt idx="222">
                  <c:v>-31.230511613769</c:v>
                </c:pt>
                <c:pt idx="223">
                  <c:v>-22.591610670668501</c:v>
                </c:pt>
                <c:pt idx="224">
                  <c:v>-18.892168135029699</c:v>
                </c:pt>
                <c:pt idx="225">
                  <c:v>-16.126845814866499</c:v>
                </c:pt>
                <c:pt idx="226">
                  <c:v>-16.3153311317987</c:v>
                </c:pt>
                <c:pt idx="227">
                  <c:v>-20.864388239217401</c:v>
                </c:pt>
                <c:pt idx="228">
                  <c:v>-20.333926335555901</c:v>
                </c:pt>
                <c:pt idx="229">
                  <c:v>-27.324361015689998</c:v>
                </c:pt>
                <c:pt idx="230">
                  <c:v>-34.052667663080101</c:v>
                </c:pt>
                <c:pt idx="231">
                  <c:v>-38.789994069022598</c:v>
                </c:pt>
                <c:pt idx="232">
                  <c:v>-43.7348783208257</c:v>
                </c:pt>
                <c:pt idx="233">
                  <c:v>-42.846295845342297</c:v>
                </c:pt>
                <c:pt idx="234">
                  <c:v>-24.5878516031629</c:v>
                </c:pt>
                <c:pt idx="235">
                  <c:v>-13.687532824111599</c:v>
                </c:pt>
                <c:pt idx="236">
                  <c:v>-6.36267125943818</c:v>
                </c:pt>
                <c:pt idx="237">
                  <c:v>4.7659405734189502</c:v>
                </c:pt>
                <c:pt idx="238">
                  <c:v>-3.83852700946994</c:v>
                </c:pt>
                <c:pt idx="239">
                  <c:v>-11.6179728085375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D-424B-8D90-FFBB8E5B7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445632"/>
        <c:axId val="1183749824"/>
      </c:lineChart>
      <c:catAx>
        <c:axId val="1173445632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3749824"/>
        <c:crossesAt val="-45"/>
        <c:auto val="0"/>
        <c:lblAlgn val="ctr"/>
        <c:lblOffset val="100"/>
        <c:noMultiLvlLbl val="0"/>
      </c:catAx>
      <c:valAx>
        <c:axId val="118374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344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3000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'prueba grace y pozos'!$E$3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pozos'!$F$3:$DR$3</c:f>
              <c:numCache>
                <c:formatCode>General</c:formatCode>
                <c:ptCount val="117"/>
                <c:pt idx="0">
                  <c:v>60.8</c:v>
                </c:pt>
                <c:pt idx="1">
                  <c:v>72</c:v>
                </c:pt>
                <c:pt idx="2">
                  <c:v>63</c:v>
                </c:pt>
                <c:pt idx="4">
                  <c:v>197.82</c:v>
                </c:pt>
                <c:pt idx="6">
                  <c:v>76</c:v>
                </c:pt>
                <c:pt idx="7">
                  <c:v>60</c:v>
                </c:pt>
                <c:pt idx="10">
                  <c:v>22.56</c:v>
                </c:pt>
                <c:pt idx="12">
                  <c:v>40</c:v>
                </c:pt>
                <c:pt idx="13">
                  <c:v>38</c:v>
                </c:pt>
                <c:pt idx="14">
                  <c:v>25</c:v>
                </c:pt>
                <c:pt idx="17">
                  <c:v>11.38</c:v>
                </c:pt>
                <c:pt idx="20">
                  <c:v>48</c:v>
                </c:pt>
                <c:pt idx="23">
                  <c:v>11.92</c:v>
                </c:pt>
                <c:pt idx="24">
                  <c:v>5.5</c:v>
                </c:pt>
                <c:pt idx="25">
                  <c:v>13</c:v>
                </c:pt>
                <c:pt idx="26">
                  <c:v>28</c:v>
                </c:pt>
                <c:pt idx="29">
                  <c:v>8.52</c:v>
                </c:pt>
                <c:pt idx="30">
                  <c:v>7.49</c:v>
                </c:pt>
                <c:pt idx="31">
                  <c:v>1.5</c:v>
                </c:pt>
                <c:pt idx="32">
                  <c:v>9</c:v>
                </c:pt>
                <c:pt idx="34">
                  <c:v>21.68</c:v>
                </c:pt>
                <c:pt idx="37">
                  <c:v>28.23</c:v>
                </c:pt>
                <c:pt idx="40">
                  <c:v>10.91</c:v>
                </c:pt>
                <c:pt idx="42">
                  <c:v>140</c:v>
                </c:pt>
                <c:pt idx="43">
                  <c:v>5.17</c:v>
                </c:pt>
                <c:pt idx="44">
                  <c:v>48.71</c:v>
                </c:pt>
                <c:pt idx="46">
                  <c:v>3.4</c:v>
                </c:pt>
                <c:pt idx="47">
                  <c:v>33.35</c:v>
                </c:pt>
                <c:pt idx="48">
                  <c:v>54.5</c:v>
                </c:pt>
                <c:pt idx="49">
                  <c:v>9.1999999999999993</c:v>
                </c:pt>
                <c:pt idx="51">
                  <c:v>26.51</c:v>
                </c:pt>
                <c:pt idx="53">
                  <c:v>55.13</c:v>
                </c:pt>
                <c:pt idx="54">
                  <c:v>55.21</c:v>
                </c:pt>
                <c:pt idx="56">
                  <c:v>41.32</c:v>
                </c:pt>
                <c:pt idx="57">
                  <c:v>0.88</c:v>
                </c:pt>
                <c:pt idx="60">
                  <c:v>90</c:v>
                </c:pt>
                <c:pt idx="61">
                  <c:v>0.33</c:v>
                </c:pt>
                <c:pt idx="62">
                  <c:v>8.57</c:v>
                </c:pt>
                <c:pt idx="63">
                  <c:v>2.91</c:v>
                </c:pt>
                <c:pt idx="64">
                  <c:v>6.3</c:v>
                </c:pt>
                <c:pt idx="65">
                  <c:v>97.03</c:v>
                </c:pt>
                <c:pt idx="66">
                  <c:v>40</c:v>
                </c:pt>
                <c:pt idx="67">
                  <c:v>1.62</c:v>
                </c:pt>
                <c:pt idx="69">
                  <c:v>27</c:v>
                </c:pt>
                <c:pt idx="71">
                  <c:v>8.8000000000000007</c:v>
                </c:pt>
                <c:pt idx="72">
                  <c:v>2.0699999999999998</c:v>
                </c:pt>
                <c:pt idx="73">
                  <c:v>38.409999999999997</c:v>
                </c:pt>
                <c:pt idx="76">
                  <c:v>35.020000000000003</c:v>
                </c:pt>
                <c:pt idx="77">
                  <c:v>113.3</c:v>
                </c:pt>
                <c:pt idx="78">
                  <c:v>1.58</c:v>
                </c:pt>
                <c:pt idx="81">
                  <c:v>9.17</c:v>
                </c:pt>
                <c:pt idx="83">
                  <c:v>6.53</c:v>
                </c:pt>
                <c:pt idx="84">
                  <c:v>106</c:v>
                </c:pt>
                <c:pt idx="86">
                  <c:v>12.07</c:v>
                </c:pt>
                <c:pt idx="87">
                  <c:v>106.9</c:v>
                </c:pt>
                <c:pt idx="88">
                  <c:v>49.5</c:v>
                </c:pt>
                <c:pt idx="90">
                  <c:v>75</c:v>
                </c:pt>
                <c:pt idx="92">
                  <c:v>28.2</c:v>
                </c:pt>
                <c:pt idx="95">
                  <c:v>102</c:v>
                </c:pt>
                <c:pt idx="99">
                  <c:v>111.2</c:v>
                </c:pt>
                <c:pt idx="100">
                  <c:v>130</c:v>
                </c:pt>
                <c:pt idx="101">
                  <c:v>42.34</c:v>
                </c:pt>
                <c:pt idx="102">
                  <c:v>22</c:v>
                </c:pt>
                <c:pt idx="103">
                  <c:v>55.53</c:v>
                </c:pt>
                <c:pt idx="105">
                  <c:v>90</c:v>
                </c:pt>
                <c:pt idx="111">
                  <c:v>37.299999999999997</c:v>
                </c:pt>
                <c:pt idx="113">
                  <c:v>25</c:v>
                </c:pt>
                <c:pt idx="114">
                  <c:v>45</c:v>
                </c:pt>
                <c:pt idx="115">
                  <c:v>17</c:v>
                </c:pt>
                <c:pt idx="116">
                  <c:v>43.3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8-474E-9A6F-05A63104D708}"/>
            </c:ext>
          </c:extLst>
        </c:ser>
        <c:ser>
          <c:idx val="1"/>
          <c:order val="1"/>
          <c:tx>
            <c:strRef>
              <c:f>'prueba grace y pozos'!$E$4</c:f>
              <c:strCache>
                <c:ptCount val="1"/>
                <c:pt idx="0">
                  <c:v>1997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pozos'!$F$4:$DR$4</c:f>
              <c:numCache>
                <c:formatCode>General</c:formatCode>
                <c:ptCount val="117"/>
                <c:pt idx="0">
                  <c:v>61.85</c:v>
                </c:pt>
                <c:pt idx="1">
                  <c:v>73.2</c:v>
                </c:pt>
                <c:pt idx="3">
                  <c:v>219</c:v>
                </c:pt>
                <c:pt idx="4">
                  <c:v>198.35</c:v>
                </c:pt>
                <c:pt idx="6">
                  <c:v>76</c:v>
                </c:pt>
                <c:pt idx="7">
                  <c:v>58.2</c:v>
                </c:pt>
                <c:pt idx="12">
                  <c:v>42.45</c:v>
                </c:pt>
                <c:pt idx="13">
                  <c:v>38</c:v>
                </c:pt>
                <c:pt idx="16">
                  <c:v>10.8</c:v>
                </c:pt>
                <c:pt idx="17">
                  <c:v>12.4</c:v>
                </c:pt>
                <c:pt idx="20">
                  <c:v>52.3</c:v>
                </c:pt>
                <c:pt idx="23">
                  <c:v>12</c:v>
                </c:pt>
                <c:pt idx="25">
                  <c:v>13.4</c:v>
                </c:pt>
                <c:pt idx="28">
                  <c:v>2.4</c:v>
                </c:pt>
                <c:pt idx="29">
                  <c:v>8.5399999999999991</c:v>
                </c:pt>
                <c:pt idx="30">
                  <c:v>8.61</c:v>
                </c:pt>
                <c:pt idx="31">
                  <c:v>2.15</c:v>
                </c:pt>
                <c:pt idx="32">
                  <c:v>8.7799999999999994</c:v>
                </c:pt>
                <c:pt idx="34">
                  <c:v>21.96</c:v>
                </c:pt>
                <c:pt idx="37">
                  <c:v>28.32</c:v>
                </c:pt>
                <c:pt idx="40">
                  <c:v>10.85</c:v>
                </c:pt>
                <c:pt idx="42">
                  <c:v>94.6</c:v>
                </c:pt>
                <c:pt idx="43">
                  <c:v>5.51</c:v>
                </c:pt>
                <c:pt idx="44">
                  <c:v>50</c:v>
                </c:pt>
                <c:pt idx="45">
                  <c:v>73.900000000000006</c:v>
                </c:pt>
                <c:pt idx="46">
                  <c:v>3.4</c:v>
                </c:pt>
                <c:pt idx="47">
                  <c:v>33.200000000000003</c:v>
                </c:pt>
                <c:pt idx="48">
                  <c:v>53.94</c:v>
                </c:pt>
                <c:pt idx="49">
                  <c:v>9.48</c:v>
                </c:pt>
                <c:pt idx="51">
                  <c:v>26.85</c:v>
                </c:pt>
                <c:pt idx="52">
                  <c:v>0.25</c:v>
                </c:pt>
                <c:pt idx="53">
                  <c:v>56</c:v>
                </c:pt>
                <c:pt idx="54">
                  <c:v>55.35</c:v>
                </c:pt>
                <c:pt idx="55">
                  <c:v>34</c:v>
                </c:pt>
                <c:pt idx="60">
                  <c:v>93.7</c:v>
                </c:pt>
                <c:pt idx="61">
                  <c:v>0.5</c:v>
                </c:pt>
                <c:pt idx="62">
                  <c:v>8.6999999999999993</c:v>
                </c:pt>
                <c:pt idx="63">
                  <c:v>3.15</c:v>
                </c:pt>
                <c:pt idx="65">
                  <c:v>97.34</c:v>
                </c:pt>
                <c:pt idx="66">
                  <c:v>41.7</c:v>
                </c:pt>
                <c:pt idx="68">
                  <c:v>14.4</c:v>
                </c:pt>
                <c:pt idx="71">
                  <c:v>8.6199999999999992</c:v>
                </c:pt>
                <c:pt idx="72">
                  <c:v>2.2000000000000002</c:v>
                </c:pt>
                <c:pt idx="73">
                  <c:v>37.6</c:v>
                </c:pt>
                <c:pt idx="75">
                  <c:v>83.5</c:v>
                </c:pt>
                <c:pt idx="76">
                  <c:v>35.28</c:v>
                </c:pt>
                <c:pt idx="77">
                  <c:v>113.4</c:v>
                </c:pt>
                <c:pt idx="78">
                  <c:v>1.6</c:v>
                </c:pt>
                <c:pt idx="79">
                  <c:v>63.68</c:v>
                </c:pt>
                <c:pt idx="80">
                  <c:v>18.62</c:v>
                </c:pt>
                <c:pt idx="81">
                  <c:v>9</c:v>
                </c:pt>
                <c:pt idx="82">
                  <c:v>45.6</c:v>
                </c:pt>
                <c:pt idx="83">
                  <c:v>4.95</c:v>
                </c:pt>
                <c:pt idx="84">
                  <c:v>107.6</c:v>
                </c:pt>
                <c:pt idx="85">
                  <c:v>49.47</c:v>
                </c:pt>
                <c:pt idx="87">
                  <c:v>107.7</c:v>
                </c:pt>
                <c:pt idx="88">
                  <c:v>54</c:v>
                </c:pt>
                <c:pt idx="89">
                  <c:v>29.2</c:v>
                </c:pt>
                <c:pt idx="90">
                  <c:v>75.239999999999995</c:v>
                </c:pt>
                <c:pt idx="91">
                  <c:v>11.38</c:v>
                </c:pt>
                <c:pt idx="92">
                  <c:v>28.7</c:v>
                </c:pt>
                <c:pt idx="93">
                  <c:v>77.819999999999993</c:v>
                </c:pt>
                <c:pt idx="94">
                  <c:v>146</c:v>
                </c:pt>
                <c:pt idx="95">
                  <c:v>115.57</c:v>
                </c:pt>
                <c:pt idx="97">
                  <c:v>62.27</c:v>
                </c:pt>
                <c:pt idx="98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28-474E-9A6F-05A63104D708}"/>
            </c:ext>
          </c:extLst>
        </c:ser>
        <c:ser>
          <c:idx val="2"/>
          <c:order val="2"/>
          <c:tx>
            <c:strRef>
              <c:f>'prueba grace y pozos'!$E$5</c:f>
              <c:strCache>
                <c:ptCount val="1"/>
                <c:pt idx="0">
                  <c:v>1998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pozos'!$F$5:$DR$5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02-CE28-474E-9A6F-05A63104D708}"/>
            </c:ext>
          </c:extLst>
        </c:ser>
        <c:ser>
          <c:idx val="3"/>
          <c:order val="3"/>
          <c:tx>
            <c:strRef>
              <c:f>'prueba grace y pozos'!$E$6</c:f>
              <c:strCache>
                <c:ptCount val="1"/>
                <c:pt idx="0">
                  <c:v>1999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pozos'!$F$6:$DR$6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03-CE28-474E-9A6F-05A63104D708}"/>
            </c:ext>
          </c:extLst>
        </c:ser>
        <c:ser>
          <c:idx val="4"/>
          <c:order val="4"/>
          <c:tx>
            <c:strRef>
              <c:f>'prueba grace y pozos'!$E$7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pozos'!$F$7:$DR$7</c:f>
              <c:numCache>
                <c:formatCode>General</c:formatCode>
                <c:ptCount val="117"/>
                <c:pt idx="1">
                  <c:v>76</c:v>
                </c:pt>
                <c:pt idx="3">
                  <c:v>220.28</c:v>
                </c:pt>
                <c:pt idx="4">
                  <c:v>199.46</c:v>
                </c:pt>
                <c:pt idx="6">
                  <c:v>76.75</c:v>
                </c:pt>
                <c:pt idx="7">
                  <c:v>58.8</c:v>
                </c:pt>
                <c:pt idx="10">
                  <c:v>23.7</c:v>
                </c:pt>
                <c:pt idx="12">
                  <c:v>44</c:v>
                </c:pt>
                <c:pt idx="13">
                  <c:v>38.270000000000003</c:v>
                </c:pt>
                <c:pt idx="14">
                  <c:v>17</c:v>
                </c:pt>
                <c:pt idx="16">
                  <c:v>11.2</c:v>
                </c:pt>
                <c:pt idx="17">
                  <c:v>12.17</c:v>
                </c:pt>
                <c:pt idx="19">
                  <c:v>8.11</c:v>
                </c:pt>
                <c:pt idx="20">
                  <c:v>53.55</c:v>
                </c:pt>
                <c:pt idx="23">
                  <c:v>12.35</c:v>
                </c:pt>
                <c:pt idx="24">
                  <c:v>5.9</c:v>
                </c:pt>
                <c:pt idx="25">
                  <c:v>14.07</c:v>
                </c:pt>
                <c:pt idx="26">
                  <c:v>37.549999999999997</c:v>
                </c:pt>
                <c:pt idx="28">
                  <c:v>2.94</c:v>
                </c:pt>
                <c:pt idx="29">
                  <c:v>7.74</c:v>
                </c:pt>
                <c:pt idx="30">
                  <c:v>8.65</c:v>
                </c:pt>
                <c:pt idx="31">
                  <c:v>2.63</c:v>
                </c:pt>
                <c:pt idx="32">
                  <c:v>8.8000000000000007</c:v>
                </c:pt>
                <c:pt idx="34">
                  <c:v>22.38</c:v>
                </c:pt>
                <c:pt idx="37">
                  <c:v>27.05</c:v>
                </c:pt>
                <c:pt idx="38">
                  <c:v>6.27</c:v>
                </c:pt>
                <c:pt idx="39">
                  <c:v>10.199999999999999</c:v>
                </c:pt>
                <c:pt idx="40">
                  <c:v>10.96</c:v>
                </c:pt>
                <c:pt idx="42">
                  <c:v>95.24</c:v>
                </c:pt>
                <c:pt idx="43">
                  <c:v>6</c:v>
                </c:pt>
                <c:pt idx="44">
                  <c:v>49.94</c:v>
                </c:pt>
                <c:pt idx="45">
                  <c:v>74</c:v>
                </c:pt>
                <c:pt idx="46">
                  <c:v>3.39</c:v>
                </c:pt>
                <c:pt idx="47">
                  <c:v>33.26</c:v>
                </c:pt>
                <c:pt idx="48">
                  <c:v>53.94</c:v>
                </c:pt>
                <c:pt idx="49">
                  <c:v>10.02</c:v>
                </c:pt>
                <c:pt idx="51">
                  <c:v>27.73</c:v>
                </c:pt>
                <c:pt idx="52">
                  <c:v>0.25</c:v>
                </c:pt>
                <c:pt idx="53">
                  <c:v>55.7</c:v>
                </c:pt>
                <c:pt idx="54">
                  <c:v>56.04</c:v>
                </c:pt>
                <c:pt idx="55">
                  <c:v>56.91</c:v>
                </c:pt>
                <c:pt idx="56">
                  <c:v>43.1</c:v>
                </c:pt>
                <c:pt idx="57">
                  <c:v>0.75</c:v>
                </c:pt>
                <c:pt idx="58">
                  <c:v>57.57</c:v>
                </c:pt>
                <c:pt idx="60">
                  <c:v>108.58</c:v>
                </c:pt>
                <c:pt idx="61">
                  <c:v>2.1</c:v>
                </c:pt>
                <c:pt idx="62">
                  <c:v>9.65</c:v>
                </c:pt>
                <c:pt idx="63">
                  <c:v>3.32</c:v>
                </c:pt>
                <c:pt idx="64">
                  <c:v>6.8</c:v>
                </c:pt>
                <c:pt idx="65">
                  <c:v>97.45</c:v>
                </c:pt>
                <c:pt idx="66">
                  <c:v>41.86</c:v>
                </c:pt>
                <c:pt idx="68">
                  <c:v>15.98</c:v>
                </c:pt>
                <c:pt idx="69">
                  <c:v>35</c:v>
                </c:pt>
                <c:pt idx="71">
                  <c:v>11.26</c:v>
                </c:pt>
                <c:pt idx="72">
                  <c:v>2.2400000000000002</c:v>
                </c:pt>
                <c:pt idx="73">
                  <c:v>37.53</c:v>
                </c:pt>
                <c:pt idx="74">
                  <c:v>20.86</c:v>
                </c:pt>
                <c:pt idx="75">
                  <c:v>85.97</c:v>
                </c:pt>
                <c:pt idx="76">
                  <c:v>35.840000000000003</c:v>
                </c:pt>
                <c:pt idx="77">
                  <c:v>113.87</c:v>
                </c:pt>
                <c:pt idx="78">
                  <c:v>1.5</c:v>
                </c:pt>
                <c:pt idx="79">
                  <c:v>64.180000000000007</c:v>
                </c:pt>
                <c:pt idx="80">
                  <c:v>18.78</c:v>
                </c:pt>
                <c:pt idx="81">
                  <c:v>9.19</c:v>
                </c:pt>
                <c:pt idx="82">
                  <c:v>46.7</c:v>
                </c:pt>
                <c:pt idx="83">
                  <c:v>6.46</c:v>
                </c:pt>
                <c:pt idx="84">
                  <c:v>110.96</c:v>
                </c:pt>
                <c:pt idx="85">
                  <c:v>56.18</c:v>
                </c:pt>
                <c:pt idx="87">
                  <c:v>110.43</c:v>
                </c:pt>
                <c:pt idx="88">
                  <c:v>56.37</c:v>
                </c:pt>
                <c:pt idx="89">
                  <c:v>30.07</c:v>
                </c:pt>
                <c:pt idx="90">
                  <c:v>75.5</c:v>
                </c:pt>
                <c:pt idx="91">
                  <c:v>11.83</c:v>
                </c:pt>
                <c:pt idx="92">
                  <c:v>29</c:v>
                </c:pt>
                <c:pt idx="93">
                  <c:v>78.8</c:v>
                </c:pt>
                <c:pt idx="94">
                  <c:v>146.66999999999999</c:v>
                </c:pt>
                <c:pt idx="97">
                  <c:v>83.62</c:v>
                </c:pt>
                <c:pt idx="98">
                  <c:v>161.01</c:v>
                </c:pt>
                <c:pt idx="99">
                  <c:v>110.7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28-474E-9A6F-05A63104D708}"/>
            </c:ext>
          </c:extLst>
        </c:ser>
        <c:ser>
          <c:idx val="5"/>
          <c:order val="5"/>
          <c:tx>
            <c:strRef>
              <c:f>'prueba grace y pozos'!$E$8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pozos'!$F$8:$DR$8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05-CE28-474E-9A6F-05A63104D708}"/>
            </c:ext>
          </c:extLst>
        </c:ser>
        <c:ser>
          <c:idx val="6"/>
          <c:order val="6"/>
          <c:tx>
            <c:strRef>
              <c:f>'prueba grace y pozos'!$E$9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pozos'!$F$9:$DR$9</c:f>
              <c:numCache>
                <c:formatCode>General</c:formatCode>
                <c:ptCount val="117"/>
                <c:pt idx="0">
                  <c:v>59.87</c:v>
                </c:pt>
                <c:pt idx="2">
                  <c:v>72.430000000000007</c:v>
                </c:pt>
                <c:pt idx="3">
                  <c:v>200.88</c:v>
                </c:pt>
                <c:pt idx="4">
                  <c:v>200.35</c:v>
                </c:pt>
                <c:pt idx="6">
                  <c:v>76.959999999999994</c:v>
                </c:pt>
                <c:pt idx="7">
                  <c:v>59.42</c:v>
                </c:pt>
                <c:pt idx="9">
                  <c:v>72.209999999999994</c:v>
                </c:pt>
                <c:pt idx="10">
                  <c:v>24.18</c:v>
                </c:pt>
                <c:pt idx="11">
                  <c:v>53.68</c:v>
                </c:pt>
                <c:pt idx="12">
                  <c:v>44.87</c:v>
                </c:pt>
                <c:pt idx="13">
                  <c:v>38.700000000000003</c:v>
                </c:pt>
                <c:pt idx="14">
                  <c:v>20.46</c:v>
                </c:pt>
                <c:pt idx="15">
                  <c:v>12.73</c:v>
                </c:pt>
                <c:pt idx="16">
                  <c:v>11.2</c:v>
                </c:pt>
                <c:pt idx="17">
                  <c:v>12.35</c:v>
                </c:pt>
                <c:pt idx="19">
                  <c:v>8.67</c:v>
                </c:pt>
                <c:pt idx="20">
                  <c:v>54.2</c:v>
                </c:pt>
                <c:pt idx="23">
                  <c:v>12.87</c:v>
                </c:pt>
                <c:pt idx="24">
                  <c:v>10.47</c:v>
                </c:pt>
                <c:pt idx="25">
                  <c:v>15.31</c:v>
                </c:pt>
                <c:pt idx="26">
                  <c:v>26.04</c:v>
                </c:pt>
                <c:pt idx="28">
                  <c:v>4.1900000000000004</c:v>
                </c:pt>
                <c:pt idx="29">
                  <c:v>8.27</c:v>
                </c:pt>
                <c:pt idx="30">
                  <c:v>8.9700000000000006</c:v>
                </c:pt>
                <c:pt idx="31">
                  <c:v>3.14</c:v>
                </c:pt>
                <c:pt idx="32">
                  <c:v>6.25</c:v>
                </c:pt>
                <c:pt idx="34">
                  <c:v>22.82</c:v>
                </c:pt>
                <c:pt idx="37">
                  <c:v>26.77</c:v>
                </c:pt>
                <c:pt idx="38">
                  <c:v>6.3</c:v>
                </c:pt>
                <c:pt idx="39">
                  <c:v>10.3</c:v>
                </c:pt>
                <c:pt idx="40">
                  <c:v>10.86</c:v>
                </c:pt>
                <c:pt idx="42">
                  <c:v>96.13</c:v>
                </c:pt>
                <c:pt idx="43">
                  <c:v>8.34</c:v>
                </c:pt>
                <c:pt idx="44">
                  <c:v>50.13</c:v>
                </c:pt>
                <c:pt idx="45">
                  <c:v>74.069999999999993</c:v>
                </c:pt>
                <c:pt idx="46">
                  <c:v>3.41</c:v>
                </c:pt>
                <c:pt idx="47">
                  <c:v>34.119999999999997</c:v>
                </c:pt>
                <c:pt idx="48">
                  <c:v>38.450000000000003</c:v>
                </c:pt>
                <c:pt idx="49">
                  <c:v>10.6</c:v>
                </c:pt>
                <c:pt idx="51">
                  <c:v>28.34</c:v>
                </c:pt>
                <c:pt idx="52">
                  <c:v>0.25</c:v>
                </c:pt>
                <c:pt idx="53">
                  <c:v>56.52</c:v>
                </c:pt>
                <c:pt idx="54">
                  <c:v>60.37</c:v>
                </c:pt>
                <c:pt idx="55">
                  <c:v>58.36</c:v>
                </c:pt>
                <c:pt idx="56">
                  <c:v>44</c:v>
                </c:pt>
                <c:pt idx="57">
                  <c:v>1.44</c:v>
                </c:pt>
                <c:pt idx="58">
                  <c:v>62.27</c:v>
                </c:pt>
                <c:pt idx="59">
                  <c:v>4.92</c:v>
                </c:pt>
                <c:pt idx="60">
                  <c:v>110.7</c:v>
                </c:pt>
                <c:pt idx="61">
                  <c:v>2.04</c:v>
                </c:pt>
                <c:pt idx="62">
                  <c:v>10.84</c:v>
                </c:pt>
                <c:pt idx="63">
                  <c:v>4.0999999999999996</c:v>
                </c:pt>
                <c:pt idx="64">
                  <c:v>6.41</c:v>
                </c:pt>
                <c:pt idx="65">
                  <c:v>97.85</c:v>
                </c:pt>
                <c:pt idx="66">
                  <c:v>42.65</c:v>
                </c:pt>
                <c:pt idx="67">
                  <c:v>1.75</c:v>
                </c:pt>
                <c:pt idx="68">
                  <c:v>16.57</c:v>
                </c:pt>
                <c:pt idx="69">
                  <c:v>36.520000000000003</c:v>
                </c:pt>
                <c:pt idx="70">
                  <c:v>2.6</c:v>
                </c:pt>
                <c:pt idx="71">
                  <c:v>11.81</c:v>
                </c:pt>
                <c:pt idx="72">
                  <c:v>2.2599999999999998</c:v>
                </c:pt>
                <c:pt idx="73">
                  <c:v>38.35</c:v>
                </c:pt>
                <c:pt idx="74">
                  <c:v>20.25</c:v>
                </c:pt>
                <c:pt idx="75">
                  <c:v>90</c:v>
                </c:pt>
                <c:pt idx="76">
                  <c:v>36.36</c:v>
                </c:pt>
                <c:pt idx="77">
                  <c:v>116.37</c:v>
                </c:pt>
                <c:pt idx="78">
                  <c:v>1.67</c:v>
                </c:pt>
                <c:pt idx="79">
                  <c:v>66.94</c:v>
                </c:pt>
                <c:pt idx="80">
                  <c:v>18.89</c:v>
                </c:pt>
                <c:pt idx="81">
                  <c:v>11.07</c:v>
                </c:pt>
                <c:pt idx="83">
                  <c:v>6.24</c:v>
                </c:pt>
                <c:pt idx="84">
                  <c:v>113.23</c:v>
                </c:pt>
                <c:pt idx="85">
                  <c:v>36.03</c:v>
                </c:pt>
                <c:pt idx="86">
                  <c:v>13.07</c:v>
                </c:pt>
                <c:pt idx="87">
                  <c:v>112.73</c:v>
                </c:pt>
                <c:pt idx="88">
                  <c:v>56.73</c:v>
                </c:pt>
                <c:pt idx="89">
                  <c:v>30.13</c:v>
                </c:pt>
                <c:pt idx="90">
                  <c:v>76.13</c:v>
                </c:pt>
                <c:pt idx="91">
                  <c:v>12.19</c:v>
                </c:pt>
                <c:pt idx="92">
                  <c:v>30.55</c:v>
                </c:pt>
                <c:pt idx="93">
                  <c:v>80.849999999999994</c:v>
                </c:pt>
                <c:pt idx="94">
                  <c:v>148.72</c:v>
                </c:pt>
                <c:pt idx="97">
                  <c:v>84.2</c:v>
                </c:pt>
                <c:pt idx="98">
                  <c:v>162.72999999999999</c:v>
                </c:pt>
                <c:pt idx="99">
                  <c:v>94.88</c:v>
                </c:pt>
                <c:pt idx="100">
                  <c:v>143.02000000000001</c:v>
                </c:pt>
                <c:pt idx="101">
                  <c:v>43.15</c:v>
                </c:pt>
                <c:pt idx="102">
                  <c:v>27.07</c:v>
                </c:pt>
                <c:pt idx="103">
                  <c:v>56.42</c:v>
                </c:pt>
                <c:pt idx="105">
                  <c:v>81.55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28-474E-9A6F-05A63104D708}"/>
            </c:ext>
          </c:extLst>
        </c:ser>
        <c:ser>
          <c:idx val="7"/>
          <c:order val="7"/>
          <c:tx>
            <c:strRef>
              <c:f>'prueba grace y pozos'!$E$10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pozos'!$F$10:$DR$10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07-CE28-474E-9A6F-05A63104D708}"/>
            </c:ext>
          </c:extLst>
        </c:ser>
        <c:ser>
          <c:idx val="8"/>
          <c:order val="8"/>
          <c:tx>
            <c:strRef>
              <c:f>'prueba grace y pozos'!$E$11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pozos'!$F$11:$DR$11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08-CE28-474E-9A6F-05A63104D708}"/>
            </c:ext>
          </c:extLst>
        </c:ser>
        <c:ser>
          <c:idx val="9"/>
          <c:order val="9"/>
          <c:tx>
            <c:strRef>
              <c:f>'prueba grace y pozos'!$E$12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pozos'!$F$12:$DR$12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09-CE28-474E-9A6F-05A63104D708}"/>
            </c:ext>
          </c:extLst>
        </c:ser>
        <c:ser>
          <c:idx val="10"/>
          <c:order val="10"/>
          <c:tx>
            <c:strRef>
              <c:f>'prueba grace y pozos'!$E$13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pozos'!$F$13:$DR$13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0A-CE28-474E-9A6F-05A63104D708}"/>
            </c:ext>
          </c:extLst>
        </c:ser>
        <c:ser>
          <c:idx val="11"/>
          <c:order val="11"/>
          <c:tx>
            <c:strRef>
              <c:f>'prueba grace y pozos'!$E$14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pozos'!$F$14:$DR$14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0B-CE28-474E-9A6F-05A63104D708}"/>
            </c:ext>
          </c:extLst>
        </c:ser>
        <c:ser>
          <c:idx val="12"/>
          <c:order val="12"/>
          <c:tx>
            <c:strRef>
              <c:f>'prueba grace y pozos'!$E$15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pozos'!$F$15:$DR$15</c:f>
              <c:numCache>
                <c:formatCode>General</c:formatCode>
                <c:ptCount val="117"/>
                <c:pt idx="0">
                  <c:v>61.1</c:v>
                </c:pt>
                <c:pt idx="1">
                  <c:v>77.7</c:v>
                </c:pt>
                <c:pt idx="2">
                  <c:v>74.05</c:v>
                </c:pt>
                <c:pt idx="3">
                  <c:v>207.4</c:v>
                </c:pt>
                <c:pt idx="4">
                  <c:v>205.4</c:v>
                </c:pt>
                <c:pt idx="6">
                  <c:v>78.89</c:v>
                </c:pt>
                <c:pt idx="7">
                  <c:v>61.76</c:v>
                </c:pt>
                <c:pt idx="9">
                  <c:v>74.23</c:v>
                </c:pt>
                <c:pt idx="10">
                  <c:v>25.15</c:v>
                </c:pt>
                <c:pt idx="12">
                  <c:v>46.97</c:v>
                </c:pt>
                <c:pt idx="13">
                  <c:v>39.31</c:v>
                </c:pt>
                <c:pt idx="14">
                  <c:v>21.62</c:v>
                </c:pt>
                <c:pt idx="15">
                  <c:v>13.55</c:v>
                </c:pt>
                <c:pt idx="16">
                  <c:v>12.65</c:v>
                </c:pt>
                <c:pt idx="17">
                  <c:v>13.15</c:v>
                </c:pt>
                <c:pt idx="19">
                  <c:v>9.02</c:v>
                </c:pt>
                <c:pt idx="20">
                  <c:v>56.05</c:v>
                </c:pt>
                <c:pt idx="23">
                  <c:v>13.44</c:v>
                </c:pt>
                <c:pt idx="25">
                  <c:v>16.95</c:v>
                </c:pt>
                <c:pt idx="26">
                  <c:v>27.33</c:v>
                </c:pt>
                <c:pt idx="28">
                  <c:v>5.0999999999999996</c:v>
                </c:pt>
                <c:pt idx="29">
                  <c:v>8.57</c:v>
                </c:pt>
                <c:pt idx="30">
                  <c:v>9.4499999999999993</c:v>
                </c:pt>
                <c:pt idx="31">
                  <c:v>3.88</c:v>
                </c:pt>
                <c:pt idx="32">
                  <c:v>6.9</c:v>
                </c:pt>
                <c:pt idx="34">
                  <c:v>24.05</c:v>
                </c:pt>
                <c:pt idx="37">
                  <c:v>26.97</c:v>
                </c:pt>
                <c:pt idx="38">
                  <c:v>6.45</c:v>
                </c:pt>
                <c:pt idx="39">
                  <c:v>11.13</c:v>
                </c:pt>
                <c:pt idx="40">
                  <c:v>10.97</c:v>
                </c:pt>
                <c:pt idx="43">
                  <c:v>8.5</c:v>
                </c:pt>
                <c:pt idx="44">
                  <c:v>52.65</c:v>
                </c:pt>
                <c:pt idx="45">
                  <c:v>75.55</c:v>
                </c:pt>
                <c:pt idx="46">
                  <c:v>3.65</c:v>
                </c:pt>
                <c:pt idx="47">
                  <c:v>35.340000000000003</c:v>
                </c:pt>
                <c:pt idx="48">
                  <c:v>41.4</c:v>
                </c:pt>
                <c:pt idx="49">
                  <c:v>11.5</c:v>
                </c:pt>
                <c:pt idx="51">
                  <c:v>29.8</c:v>
                </c:pt>
                <c:pt idx="53">
                  <c:v>57.4</c:v>
                </c:pt>
                <c:pt idx="57">
                  <c:v>1.6</c:v>
                </c:pt>
                <c:pt idx="59">
                  <c:v>5.35</c:v>
                </c:pt>
                <c:pt idx="61">
                  <c:v>2.56</c:v>
                </c:pt>
                <c:pt idx="62">
                  <c:v>12.25</c:v>
                </c:pt>
                <c:pt idx="63">
                  <c:v>5.05</c:v>
                </c:pt>
                <c:pt idx="64">
                  <c:v>6.55</c:v>
                </c:pt>
                <c:pt idx="65">
                  <c:v>100.3</c:v>
                </c:pt>
                <c:pt idx="66">
                  <c:v>43.67</c:v>
                </c:pt>
                <c:pt idx="67">
                  <c:v>2.0499999999999998</c:v>
                </c:pt>
                <c:pt idx="68">
                  <c:v>17.98</c:v>
                </c:pt>
                <c:pt idx="69">
                  <c:v>38.020000000000003</c:v>
                </c:pt>
                <c:pt idx="70">
                  <c:v>2</c:v>
                </c:pt>
                <c:pt idx="71">
                  <c:v>13.78</c:v>
                </c:pt>
                <c:pt idx="72">
                  <c:v>2.95</c:v>
                </c:pt>
                <c:pt idx="73">
                  <c:v>39.86</c:v>
                </c:pt>
                <c:pt idx="74">
                  <c:v>19.66</c:v>
                </c:pt>
                <c:pt idx="75">
                  <c:v>93.83</c:v>
                </c:pt>
                <c:pt idx="77">
                  <c:v>116.91</c:v>
                </c:pt>
                <c:pt idx="78">
                  <c:v>1.94</c:v>
                </c:pt>
                <c:pt idx="79">
                  <c:v>70.06</c:v>
                </c:pt>
                <c:pt idx="80">
                  <c:v>20.149999999999999</c:v>
                </c:pt>
                <c:pt idx="81">
                  <c:v>13.6</c:v>
                </c:pt>
                <c:pt idx="82">
                  <c:v>50.3</c:v>
                </c:pt>
                <c:pt idx="83">
                  <c:v>7.47</c:v>
                </c:pt>
                <c:pt idx="84">
                  <c:v>115.96</c:v>
                </c:pt>
                <c:pt idx="85">
                  <c:v>40.549999999999997</c:v>
                </c:pt>
                <c:pt idx="86">
                  <c:v>14.44</c:v>
                </c:pt>
                <c:pt idx="87">
                  <c:v>116.42</c:v>
                </c:pt>
                <c:pt idx="88">
                  <c:v>57.65</c:v>
                </c:pt>
                <c:pt idx="89">
                  <c:v>30.99</c:v>
                </c:pt>
                <c:pt idx="90">
                  <c:v>77.78</c:v>
                </c:pt>
                <c:pt idx="91">
                  <c:v>13.17</c:v>
                </c:pt>
                <c:pt idx="92">
                  <c:v>32.22</c:v>
                </c:pt>
                <c:pt idx="93">
                  <c:v>82.2</c:v>
                </c:pt>
                <c:pt idx="94">
                  <c:v>153.03</c:v>
                </c:pt>
                <c:pt idx="95">
                  <c:v>119.45</c:v>
                </c:pt>
                <c:pt idx="98">
                  <c:v>164.88</c:v>
                </c:pt>
                <c:pt idx="99">
                  <c:v>99.5</c:v>
                </c:pt>
                <c:pt idx="100">
                  <c:v>146.54</c:v>
                </c:pt>
                <c:pt idx="101">
                  <c:v>45.3</c:v>
                </c:pt>
                <c:pt idx="102">
                  <c:v>29.06</c:v>
                </c:pt>
                <c:pt idx="103">
                  <c:v>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E28-474E-9A6F-05A63104D708}"/>
            </c:ext>
          </c:extLst>
        </c:ser>
        <c:ser>
          <c:idx val="13"/>
          <c:order val="13"/>
          <c:tx>
            <c:strRef>
              <c:f>'prueba grace y pozos'!$E$16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pozos'!$F$16:$DR$16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0D-CE28-474E-9A6F-05A63104D708}"/>
            </c:ext>
          </c:extLst>
        </c:ser>
        <c:ser>
          <c:idx val="14"/>
          <c:order val="14"/>
          <c:tx>
            <c:strRef>
              <c:f>'prueba grace y pozos'!$E$17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pozos'!$F$17:$DR$17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0E-CE28-474E-9A6F-05A63104D708}"/>
            </c:ext>
          </c:extLst>
        </c:ser>
        <c:ser>
          <c:idx val="15"/>
          <c:order val="15"/>
          <c:tx>
            <c:strRef>
              <c:f>'prueba grace y pozos'!$E$18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pozos'!$F$18:$DR$18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0F-CE28-474E-9A6F-05A63104D708}"/>
            </c:ext>
          </c:extLst>
        </c:ser>
        <c:ser>
          <c:idx val="16"/>
          <c:order val="16"/>
          <c:tx>
            <c:strRef>
              <c:f>'prueba grace y pozos'!$E$19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pozos'!$F$19:$DR$19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10-CE28-474E-9A6F-05A63104D708}"/>
            </c:ext>
          </c:extLst>
        </c:ser>
        <c:ser>
          <c:idx val="17"/>
          <c:order val="17"/>
          <c:tx>
            <c:strRef>
              <c:f>'prueba grace y pozos'!$E$20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pozos'!$F$20:$DR$20</c:f>
              <c:numCache>
                <c:formatCode>General</c:formatCode>
                <c:ptCount val="117"/>
                <c:pt idx="0">
                  <c:v>60.41</c:v>
                </c:pt>
                <c:pt idx="1">
                  <c:v>75.75</c:v>
                </c:pt>
                <c:pt idx="2">
                  <c:v>69.7</c:v>
                </c:pt>
                <c:pt idx="3">
                  <c:v>207.5</c:v>
                </c:pt>
                <c:pt idx="4">
                  <c:v>200</c:v>
                </c:pt>
                <c:pt idx="6">
                  <c:v>79.61</c:v>
                </c:pt>
                <c:pt idx="7">
                  <c:v>61.88</c:v>
                </c:pt>
                <c:pt idx="10">
                  <c:v>29.2</c:v>
                </c:pt>
                <c:pt idx="12">
                  <c:v>47.21</c:v>
                </c:pt>
                <c:pt idx="13">
                  <c:v>40.090000000000003</c:v>
                </c:pt>
                <c:pt idx="14">
                  <c:v>21.78</c:v>
                </c:pt>
                <c:pt idx="15">
                  <c:v>13.7</c:v>
                </c:pt>
                <c:pt idx="16">
                  <c:v>12.75</c:v>
                </c:pt>
                <c:pt idx="17">
                  <c:v>16.100000000000001</c:v>
                </c:pt>
                <c:pt idx="19">
                  <c:v>22.4</c:v>
                </c:pt>
                <c:pt idx="20">
                  <c:v>56.15</c:v>
                </c:pt>
                <c:pt idx="23">
                  <c:v>14.16</c:v>
                </c:pt>
                <c:pt idx="25">
                  <c:v>18.149999999999999</c:v>
                </c:pt>
                <c:pt idx="26">
                  <c:v>27.7</c:v>
                </c:pt>
                <c:pt idx="28">
                  <c:v>4.55</c:v>
                </c:pt>
                <c:pt idx="29">
                  <c:v>8.0500000000000007</c:v>
                </c:pt>
                <c:pt idx="30">
                  <c:v>7.9</c:v>
                </c:pt>
                <c:pt idx="32">
                  <c:v>6.9</c:v>
                </c:pt>
                <c:pt idx="34">
                  <c:v>26.4</c:v>
                </c:pt>
                <c:pt idx="37">
                  <c:v>27.15</c:v>
                </c:pt>
                <c:pt idx="38">
                  <c:v>5.7</c:v>
                </c:pt>
                <c:pt idx="39">
                  <c:v>12.2</c:v>
                </c:pt>
                <c:pt idx="40">
                  <c:v>10.73</c:v>
                </c:pt>
                <c:pt idx="44">
                  <c:v>53.41</c:v>
                </c:pt>
                <c:pt idx="45">
                  <c:v>77.2</c:v>
                </c:pt>
                <c:pt idx="46">
                  <c:v>3.4</c:v>
                </c:pt>
                <c:pt idx="49">
                  <c:v>12.15</c:v>
                </c:pt>
                <c:pt idx="51">
                  <c:v>30.7</c:v>
                </c:pt>
                <c:pt idx="53">
                  <c:v>59.13</c:v>
                </c:pt>
                <c:pt idx="57">
                  <c:v>2.0099999999999998</c:v>
                </c:pt>
                <c:pt idx="61">
                  <c:v>1.1499999999999999</c:v>
                </c:pt>
                <c:pt idx="62">
                  <c:v>13.18</c:v>
                </c:pt>
                <c:pt idx="63">
                  <c:v>5.0999999999999996</c:v>
                </c:pt>
                <c:pt idx="64">
                  <c:v>7</c:v>
                </c:pt>
                <c:pt idx="65">
                  <c:v>100.55</c:v>
                </c:pt>
                <c:pt idx="67">
                  <c:v>2</c:v>
                </c:pt>
                <c:pt idx="68">
                  <c:v>18.8</c:v>
                </c:pt>
                <c:pt idx="69">
                  <c:v>40.74</c:v>
                </c:pt>
                <c:pt idx="71">
                  <c:v>13.81</c:v>
                </c:pt>
                <c:pt idx="72">
                  <c:v>2.0699999999999998</c:v>
                </c:pt>
                <c:pt idx="73">
                  <c:v>40.799999999999997</c:v>
                </c:pt>
                <c:pt idx="75">
                  <c:v>112.21</c:v>
                </c:pt>
                <c:pt idx="77">
                  <c:v>117.3</c:v>
                </c:pt>
                <c:pt idx="78">
                  <c:v>1.8</c:v>
                </c:pt>
                <c:pt idx="79">
                  <c:v>69.81</c:v>
                </c:pt>
                <c:pt idx="81">
                  <c:v>11.7</c:v>
                </c:pt>
                <c:pt idx="82">
                  <c:v>67</c:v>
                </c:pt>
                <c:pt idx="83">
                  <c:v>7.5</c:v>
                </c:pt>
                <c:pt idx="85">
                  <c:v>38.119999999999997</c:v>
                </c:pt>
                <c:pt idx="86">
                  <c:v>13.7</c:v>
                </c:pt>
                <c:pt idx="87">
                  <c:v>116.5</c:v>
                </c:pt>
                <c:pt idx="88">
                  <c:v>57.9</c:v>
                </c:pt>
                <c:pt idx="89">
                  <c:v>30.47</c:v>
                </c:pt>
                <c:pt idx="90">
                  <c:v>79.12</c:v>
                </c:pt>
                <c:pt idx="91">
                  <c:v>13.76</c:v>
                </c:pt>
                <c:pt idx="92">
                  <c:v>37.5</c:v>
                </c:pt>
                <c:pt idx="93">
                  <c:v>78.599999999999994</c:v>
                </c:pt>
                <c:pt idx="94">
                  <c:v>153.15</c:v>
                </c:pt>
                <c:pt idx="95">
                  <c:v>119.5</c:v>
                </c:pt>
                <c:pt idx="98">
                  <c:v>169.12</c:v>
                </c:pt>
                <c:pt idx="99">
                  <c:v>110.05</c:v>
                </c:pt>
                <c:pt idx="101">
                  <c:v>40</c:v>
                </c:pt>
                <c:pt idx="102">
                  <c:v>34.81</c:v>
                </c:pt>
                <c:pt idx="103">
                  <c:v>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E28-474E-9A6F-05A63104D708}"/>
            </c:ext>
          </c:extLst>
        </c:ser>
        <c:ser>
          <c:idx val="18"/>
          <c:order val="18"/>
          <c:tx>
            <c:strRef>
              <c:f>'prueba grace y pozos'!$E$21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pozos'!$F$21:$DR$21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12-CE28-474E-9A6F-05A63104D708}"/>
            </c:ext>
          </c:extLst>
        </c:ser>
        <c:ser>
          <c:idx val="19"/>
          <c:order val="19"/>
          <c:tx>
            <c:strRef>
              <c:f>'prueba grace y pozos'!$E$22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pozos'!$F$22:$DR$22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13-CE28-474E-9A6F-05A63104D708}"/>
            </c:ext>
          </c:extLst>
        </c:ser>
        <c:ser>
          <c:idx val="20"/>
          <c:order val="20"/>
          <c:tx>
            <c:strRef>
              <c:f>'prueba grace y pozos'!$E$23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pozos'!$F$23:$DR$23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14-CE28-474E-9A6F-05A63104D708}"/>
            </c:ext>
          </c:extLst>
        </c:ser>
        <c:ser>
          <c:idx val="21"/>
          <c:order val="21"/>
          <c:tx>
            <c:strRef>
              <c:f>'prueba grace y pozos'!$E$24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pozos'!$F$24:$DR$24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15-CE28-474E-9A6F-05A63104D708}"/>
            </c:ext>
          </c:extLst>
        </c:ser>
        <c:ser>
          <c:idx val="22"/>
          <c:order val="22"/>
          <c:tx>
            <c:strRef>
              <c:f>'prueba grace y pozos'!$E$25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pozos'!$F$25:$DR$25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16-CE28-474E-9A6F-05A63104D708}"/>
            </c:ext>
          </c:extLst>
        </c:ser>
        <c:ser>
          <c:idx val="23"/>
          <c:order val="23"/>
          <c:tx>
            <c:strRef>
              <c:f>'prueba grace y pozos'!$E$26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pozos'!$F$26:$DR$26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17-CE28-474E-9A6F-05A63104D708}"/>
            </c:ext>
          </c:extLst>
        </c:ser>
        <c:ser>
          <c:idx val="24"/>
          <c:order val="24"/>
          <c:tx>
            <c:strRef>
              <c:f>'prueba grace y pozos'!$E$27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pozos'!$F$27:$DR$27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18-CE28-474E-9A6F-05A63104D708}"/>
            </c:ext>
          </c:extLst>
        </c:ser>
        <c:ser>
          <c:idx val="25"/>
          <c:order val="25"/>
          <c:tx>
            <c:strRef>
              <c:f>'prueba grace y pozos'!$E$28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pozos'!$F$28:$DR$28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19-CE28-474E-9A6F-05A63104D708}"/>
            </c:ext>
          </c:extLst>
        </c:ser>
        <c:ser>
          <c:idx val="26"/>
          <c:order val="26"/>
          <c:tx>
            <c:strRef>
              <c:f>'prueba grace y pozos'!$E$29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pozos'!$F$29:$DR$29</c:f>
              <c:numCache>
                <c:formatCode>General</c:formatCode>
                <c:ptCount val="117"/>
                <c:pt idx="0">
                  <c:v>65</c:v>
                </c:pt>
                <c:pt idx="1">
                  <c:v>82</c:v>
                </c:pt>
                <c:pt idx="2">
                  <c:v>78</c:v>
                </c:pt>
                <c:pt idx="3">
                  <c:v>210</c:v>
                </c:pt>
                <c:pt idx="4">
                  <c:v>212</c:v>
                </c:pt>
                <c:pt idx="10">
                  <c:v>40</c:v>
                </c:pt>
                <c:pt idx="12">
                  <c:v>49.63</c:v>
                </c:pt>
                <c:pt idx="13">
                  <c:v>60</c:v>
                </c:pt>
                <c:pt idx="17">
                  <c:v>18</c:v>
                </c:pt>
                <c:pt idx="19">
                  <c:v>30</c:v>
                </c:pt>
                <c:pt idx="21">
                  <c:v>63.2</c:v>
                </c:pt>
                <c:pt idx="23">
                  <c:v>16</c:v>
                </c:pt>
                <c:pt idx="24">
                  <c:v>54</c:v>
                </c:pt>
                <c:pt idx="25">
                  <c:v>19</c:v>
                </c:pt>
                <c:pt idx="27">
                  <c:v>34.020000000000003</c:v>
                </c:pt>
                <c:pt idx="28">
                  <c:v>15</c:v>
                </c:pt>
                <c:pt idx="29">
                  <c:v>9</c:v>
                </c:pt>
                <c:pt idx="32">
                  <c:v>21</c:v>
                </c:pt>
                <c:pt idx="34">
                  <c:v>33.1</c:v>
                </c:pt>
                <c:pt idx="35">
                  <c:v>13.8</c:v>
                </c:pt>
                <c:pt idx="37">
                  <c:v>28</c:v>
                </c:pt>
                <c:pt idx="38">
                  <c:v>4.13</c:v>
                </c:pt>
                <c:pt idx="40">
                  <c:v>10.1</c:v>
                </c:pt>
                <c:pt idx="43">
                  <c:v>6.14</c:v>
                </c:pt>
                <c:pt idx="45">
                  <c:v>90</c:v>
                </c:pt>
                <c:pt idx="46">
                  <c:v>3.63</c:v>
                </c:pt>
                <c:pt idx="47">
                  <c:v>57</c:v>
                </c:pt>
                <c:pt idx="48">
                  <c:v>47.3</c:v>
                </c:pt>
                <c:pt idx="49">
                  <c:v>26</c:v>
                </c:pt>
                <c:pt idx="51">
                  <c:v>36</c:v>
                </c:pt>
                <c:pt idx="57">
                  <c:v>2</c:v>
                </c:pt>
                <c:pt idx="62">
                  <c:v>30</c:v>
                </c:pt>
                <c:pt idx="63">
                  <c:v>15</c:v>
                </c:pt>
                <c:pt idx="64">
                  <c:v>7</c:v>
                </c:pt>
                <c:pt idx="66">
                  <c:v>47</c:v>
                </c:pt>
                <c:pt idx="67">
                  <c:v>2</c:v>
                </c:pt>
                <c:pt idx="68">
                  <c:v>25</c:v>
                </c:pt>
                <c:pt idx="69">
                  <c:v>40</c:v>
                </c:pt>
                <c:pt idx="72">
                  <c:v>2</c:v>
                </c:pt>
                <c:pt idx="73">
                  <c:v>50</c:v>
                </c:pt>
                <c:pt idx="75">
                  <c:v>114</c:v>
                </c:pt>
                <c:pt idx="76">
                  <c:v>64</c:v>
                </c:pt>
                <c:pt idx="79">
                  <c:v>69</c:v>
                </c:pt>
                <c:pt idx="80">
                  <c:v>35</c:v>
                </c:pt>
                <c:pt idx="81">
                  <c:v>22</c:v>
                </c:pt>
                <c:pt idx="82">
                  <c:v>55</c:v>
                </c:pt>
                <c:pt idx="85">
                  <c:v>41</c:v>
                </c:pt>
                <c:pt idx="87">
                  <c:v>116</c:v>
                </c:pt>
                <c:pt idx="90">
                  <c:v>90</c:v>
                </c:pt>
                <c:pt idx="93">
                  <c:v>121.8</c:v>
                </c:pt>
                <c:pt idx="94">
                  <c:v>151</c:v>
                </c:pt>
                <c:pt idx="102">
                  <c:v>34.26</c:v>
                </c:pt>
                <c:pt idx="107">
                  <c:v>36.270000000000003</c:v>
                </c:pt>
                <c:pt idx="108">
                  <c:v>33.11</c:v>
                </c:pt>
                <c:pt idx="110">
                  <c:v>38.5</c:v>
                </c:pt>
                <c:pt idx="112">
                  <c:v>45.34</c:v>
                </c:pt>
                <c:pt idx="113">
                  <c:v>36.56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E28-474E-9A6F-05A63104D708}"/>
            </c:ext>
          </c:extLst>
        </c:ser>
        <c:ser>
          <c:idx val="27"/>
          <c:order val="27"/>
          <c:tx>
            <c:strRef>
              <c:f>'prueba grace y pozos'!$E$30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pozos'!$F$30:$DR$30</c:f>
              <c:numCache>
                <c:formatCode>General</c:formatCode>
                <c:ptCount val="117"/>
                <c:pt idx="0">
                  <c:v>62.19</c:v>
                </c:pt>
                <c:pt idx="5">
                  <c:v>63.78</c:v>
                </c:pt>
                <c:pt idx="8">
                  <c:v>77.709999999999994</c:v>
                </c:pt>
                <c:pt idx="9">
                  <c:v>76.510000000000005</c:v>
                </c:pt>
                <c:pt idx="12">
                  <c:v>52.41</c:v>
                </c:pt>
                <c:pt idx="13">
                  <c:v>59.63</c:v>
                </c:pt>
                <c:pt idx="15">
                  <c:v>20.010000000000002</c:v>
                </c:pt>
                <c:pt idx="17">
                  <c:v>19.3</c:v>
                </c:pt>
                <c:pt idx="18">
                  <c:v>21.8</c:v>
                </c:pt>
                <c:pt idx="19">
                  <c:v>10.87</c:v>
                </c:pt>
                <c:pt idx="21">
                  <c:v>62</c:v>
                </c:pt>
                <c:pt idx="22">
                  <c:v>65.91</c:v>
                </c:pt>
                <c:pt idx="23">
                  <c:v>20.71</c:v>
                </c:pt>
                <c:pt idx="24">
                  <c:v>29.2</c:v>
                </c:pt>
                <c:pt idx="27">
                  <c:v>34.700000000000003</c:v>
                </c:pt>
                <c:pt idx="28">
                  <c:v>7.2</c:v>
                </c:pt>
                <c:pt idx="29">
                  <c:v>7.82</c:v>
                </c:pt>
                <c:pt idx="30">
                  <c:v>6.74</c:v>
                </c:pt>
                <c:pt idx="31">
                  <c:v>3.15</c:v>
                </c:pt>
                <c:pt idx="33">
                  <c:v>12.73</c:v>
                </c:pt>
                <c:pt idx="34">
                  <c:v>24.11</c:v>
                </c:pt>
                <c:pt idx="35">
                  <c:v>13.85</c:v>
                </c:pt>
                <c:pt idx="36">
                  <c:v>11.41</c:v>
                </c:pt>
                <c:pt idx="37">
                  <c:v>27.5</c:v>
                </c:pt>
                <c:pt idx="38">
                  <c:v>7.31</c:v>
                </c:pt>
                <c:pt idx="39">
                  <c:v>16.690000000000001</c:v>
                </c:pt>
                <c:pt idx="41">
                  <c:v>2.34</c:v>
                </c:pt>
                <c:pt idx="43">
                  <c:v>7.53</c:v>
                </c:pt>
                <c:pt idx="44">
                  <c:v>60</c:v>
                </c:pt>
                <c:pt idx="45">
                  <c:v>79.8</c:v>
                </c:pt>
                <c:pt idx="47">
                  <c:v>36.26</c:v>
                </c:pt>
                <c:pt idx="50">
                  <c:v>25.4</c:v>
                </c:pt>
                <c:pt idx="51">
                  <c:v>34.130000000000003</c:v>
                </c:pt>
                <c:pt idx="55">
                  <c:v>60.9</c:v>
                </c:pt>
                <c:pt idx="56">
                  <c:v>52.65</c:v>
                </c:pt>
                <c:pt idx="60">
                  <c:v>112.6</c:v>
                </c:pt>
                <c:pt idx="62">
                  <c:v>23.48</c:v>
                </c:pt>
                <c:pt idx="63">
                  <c:v>14.25</c:v>
                </c:pt>
                <c:pt idx="68">
                  <c:v>26.8</c:v>
                </c:pt>
                <c:pt idx="69">
                  <c:v>42.45</c:v>
                </c:pt>
                <c:pt idx="70">
                  <c:v>10.42</c:v>
                </c:pt>
                <c:pt idx="72">
                  <c:v>3.3</c:v>
                </c:pt>
                <c:pt idx="73">
                  <c:v>44.7</c:v>
                </c:pt>
                <c:pt idx="77">
                  <c:v>110</c:v>
                </c:pt>
                <c:pt idx="79">
                  <c:v>48</c:v>
                </c:pt>
                <c:pt idx="81">
                  <c:v>18.7</c:v>
                </c:pt>
                <c:pt idx="82">
                  <c:v>27.17</c:v>
                </c:pt>
                <c:pt idx="83">
                  <c:v>12</c:v>
                </c:pt>
                <c:pt idx="85">
                  <c:v>44.86</c:v>
                </c:pt>
                <c:pt idx="86">
                  <c:v>10</c:v>
                </c:pt>
                <c:pt idx="92">
                  <c:v>38.5</c:v>
                </c:pt>
                <c:pt idx="93">
                  <c:v>77.510000000000005</c:v>
                </c:pt>
                <c:pt idx="96">
                  <c:v>22.3</c:v>
                </c:pt>
                <c:pt idx="98">
                  <c:v>163.5</c:v>
                </c:pt>
                <c:pt idx="99">
                  <c:v>124.8</c:v>
                </c:pt>
                <c:pt idx="102">
                  <c:v>33.94</c:v>
                </c:pt>
                <c:pt idx="104">
                  <c:v>33</c:v>
                </c:pt>
                <c:pt idx="105">
                  <c:v>86.43</c:v>
                </c:pt>
                <c:pt idx="106">
                  <c:v>50.68</c:v>
                </c:pt>
                <c:pt idx="108">
                  <c:v>30.1</c:v>
                </c:pt>
                <c:pt idx="109">
                  <c:v>21.01</c:v>
                </c:pt>
                <c:pt idx="112">
                  <c:v>40.98</c:v>
                </c:pt>
                <c:pt idx="114">
                  <c:v>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E28-474E-9A6F-05A63104D708}"/>
            </c:ext>
          </c:extLst>
        </c:ser>
        <c:ser>
          <c:idx val="28"/>
          <c:order val="28"/>
          <c:tx>
            <c:strRef>
              <c:f>'prueba grace y pozos'!$E$31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pozos'!$F$31:$DR$31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1C-CE28-474E-9A6F-05A63104D708}"/>
            </c:ext>
          </c:extLst>
        </c:ser>
        <c:ser>
          <c:idx val="29"/>
          <c:order val="29"/>
          <c:tx>
            <c:strRef>
              <c:f>'prueba grace y pozos'!$E$32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pozos'!$F$32:$DR$32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1D-CE28-474E-9A6F-05A63104D708}"/>
            </c:ext>
          </c:extLst>
        </c:ser>
        <c:ser>
          <c:idx val="30"/>
          <c:order val="30"/>
          <c:tx>
            <c:strRef>
              <c:f>'prueba grace y pozos'!$E$33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'prueba grace y pozos'!$F$2:$DR$2</c:f>
              <c:strCache>
                <c:ptCount val="117"/>
                <c:pt idx="0">
                  <c:v>LO001</c:v>
                </c:pt>
                <c:pt idx="1">
                  <c:v>LO004</c:v>
                </c:pt>
                <c:pt idx="2">
                  <c:v>LO006</c:v>
                </c:pt>
                <c:pt idx="3">
                  <c:v>LO008</c:v>
                </c:pt>
                <c:pt idx="4">
                  <c:v>LO011</c:v>
                </c:pt>
                <c:pt idx="5">
                  <c:v>LO0117-A</c:v>
                </c:pt>
                <c:pt idx="6">
                  <c:v>LO012</c:v>
                </c:pt>
                <c:pt idx="7">
                  <c:v>LO013</c:v>
                </c:pt>
                <c:pt idx="8">
                  <c:v>LO013A</c:v>
                </c:pt>
                <c:pt idx="9">
                  <c:v>LO015</c:v>
                </c:pt>
                <c:pt idx="10">
                  <c:v>LO016</c:v>
                </c:pt>
                <c:pt idx="11">
                  <c:v>LO017</c:v>
                </c:pt>
                <c:pt idx="12">
                  <c:v>LO018</c:v>
                </c:pt>
                <c:pt idx="13">
                  <c:v>LO019</c:v>
                </c:pt>
                <c:pt idx="14">
                  <c:v>LO020</c:v>
                </c:pt>
                <c:pt idx="15">
                  <c:v>LO021</c:v>
                </c:pt>
                <c:pt idx="16">
                  <c:v>LO022</c:v>
                </c:pt>
                <c:pt idx="17">
                  <c:v>LO023</c:v>
                </c:pt>
                <c:pt idx="18">
                  <c:v>LO023A</c:v>
                </c:pt>
                <c:pt idx="19">
                  <c:v>LO024</c:v>
                </c:pt>
                <c:pt idx="20">
                  <c:v>LO025</c:v>
                </c:pt>
                <c:pt idx="21">
                  <c:v>LO025A</c:v>
                </c:pt>
                <c:pt idx="22">
                  <c:v>LO025B</c:v>
                </c:pt>
                <c:pt idx="23">
                  <c:v>LO028</c:v>
                </c:pt>
                <c:pt idx="24">
                  <c:v>LO029</c:v>
                </c:pt>
                <c:pt idx="25">
                  <c:v>LO030</c:v>
                </c:pt>
                <c:pt idx="26">
                  <c:v>LO032</c:v>
                </c:pt>
                <c:pt idx="27">
                  <c:v>LO032A</c:v>
                </c:pt>
                <c:pt idx="28">
                  <c:v>LO033</c:v>
                </c:pt>
                <c:pt idx="29">
                  <c:v>LO034</c:v>
                </c:pt>
                <c:pt idx="30">
                  <c:v>LO035</c:v>
                </c:pt>
                <c:pt idx="31">
                  <c:v>LO036</c:v>
                </c:pt>
                <c:pt idx="32">
                  <c:v>LO039</c:v>
                </c:pt>
                <c:pt idx="33">
                  <c:v>LO039A</c:v>
                </c:pt>
                <c:pt idx="34">
                  <c:v>LO043</c:v>
                </c:pt>
                <c:pt idx="35">
                  <c:v>LO043A</c:v>
                </c:pt>
                <c:pt idx="36">
                  <c:v>LO043B</c:v>
                </c:pt>
                <c:pt idx="37">
                  <c:v>LO046</c:v>
                </c:pt>
                <c:pt idx="38">
                  <c:v>LO047</c:v>
                </c:pt>
                <c:pt idx="39">
                  <c:v>LO048</c:v>
                </c:pt>
                <c:pt idx="40">
                  <c:v>LO055</c:v>
                </c:pt>
                <c:pt idx="41">
                  <c:v>LO055B</c:v>
                </c:pt>
                <c:pt idx="42">
                  <c:v>LO056</c:v>
                </c:pt>
                <c:pt idx="43">
                  <c:v>LO057</c:v>
                </c:pt>
                <c:pt idx="44">
                  <c:v>LO061</c:v>
                </c:pt>
                <c:pt idx="45">
                  <c:v>LO062</c:v>
                </c:pt>
                <c:pt idx="46">
                  <c:v>LO067</c:v>
                </c:pt>
                <c:pt idx="47">
                  <c:v>LO068</c:v>
                </c:pt>
                <c:pt idx="48">
                  <c:v>LO069</c:v>
                </c:pt>
                <c:pt idx="49">
                  <c:v>LO070</c:v>
                </c:pt>
                <c:pt idx="50">
                  <c:v>LO070B</c:v>
                </c:pt>
                <c:pt idx="51">
                  <c:v>LO071</c:v>
                </c:pt>
                <c:pt idx="52">
                  <c:v>LO074</c:v>
                </c:pt>
                <c:pt idx="53">
                  <c:v>LO075</c:v>
                </c:pt>
                <c:pt idx="54">
                  <c:v>LO079</c:v>
                </c:pt>
                <c:pt idx="55">
                  <c:v>LO081</c:v>
                </c:pt>
                <c:pt idx="56">
                  <c:v>LO083</c:v>
                </c:pt>
                <c:pt idx="57">
                  <c:v>LO084</c:v>
                </c:pt>
                <c:pt idx="58">
                  <c:v>LO085</c:v>
                </c:pt>
                <c:pt idx="59">
                  <c:v>LO086</c:v>
                </c:pt>
                <c:pt idx="60">
                  <c:v>LO087</c:v>
                </c:pt>
                <c:pt idx="61">
                  <c:v>LO088</c:v>
                </c:pt>
                <c:pt idx="62">
                  <c:v>LO089</c:v>
                </c:pt>
                <c:pt idx="63">
                  <c:v>LO090</c:v>
                </c:pt>
                <c:pt idx="64">
                  <c:v>LO091</c:v>
                </c:pt>
                <c:pt idx="65">
                  <c:v>LO092</c:v>
                </c:pt>
                <c:pt idx="66">
                  <c:v>LO093</c:v>
                </c:pt>
                <c:pt idx="67">
                  <c:v>LO094</c:v>
                </c:pt>
                <c:pt idx="68">
                  <c:v>LO095</c:v>
                </c:pt>
                <c:pt idx="69">
                  <c:v>LO096A</c:v>
                </c:pt>
                <c:pt idx="70">
                  <c:v>LO098</c:v>
                </c:pt>
                <c:pt idx="71">
                  <c:v>LO099</c:v>
                </c:pt>
                <c:pt idx="72">
                  <c:v>LO100</c:v>
                </c:pt>
                <c:pt idx="73">
                  <c:v>LO101</c:v>
                </c:pt>
                <c:pt idx="74">
                  <c:v>LO103</c:v>
                </c:pt>
                <c:pt idx="75">
                  <c:v>LO104</c:v>
                </c:pt>
                <c:pt idx="76">
                  <c:v>LO105</c:v>
                </c:pt>
                <c:pt idx="77">
                  <c:v>LO106</c:v>
                </c:pt>
                <c:pt idx="78">
                  <c:v>LO107</c:v>
                </c:pt>
                <c:pt idx="79">
                  <c:v>LO108</c:v>
                </c:pt>
                <c:pt idx="80">
                  <c:v>LO109</c:v>
                </c:pt>
                <c:pt idx="81">
                  <c:v>LO110</c:v>
                </c:pt>
                <c:pt idx="82">
                  <c:v>LO111</c:v>
                </c:pt>
                <c:pt idx="83">
                  <c:v>LO112</c:v>
                </c:pt>
                <c:pt idx="84">
                  <c:v>LO113</c:v>
                </c:pt>
                <c:pt idx="85">
                  <c:v>LO114</c:v>
                </c:pt>
                <c:pt idx="86">
                  <c:v>LO115</c:v>
                </c:pt>
                <c:pt idx="87">
                  <c:v>LO116</c:v>
                </c:pt>
                <c:pt idx="88">
                  <c:v>LO117</c:v>
                </c:pt>
                <c:pt idx="89">
                  <c:v>LO118</c:v>
                </c:pt>
                <c:pt idx="90">
                  <c:v>LO119</c:v>
                </c:pt>
                <c:pt idx="91">
                  <c:v>LO120</c:v>
                </c:pt>
                <c:pt idx="92">
                  <c:v>LO121</c:v>
                </c:pt>
                <c:pt idx="93">
                  <c:v>LO122</c:v>
                </c:pt>
                <c:pt idx="94">
                  <c:v>LO123</c:v>
                </c:pt>
                <c:pt idx="95">
                  <c:v>LO124</c:v>
                </c:pt>
                <c:pt idx="96">
                  <c:v>LO124-A</c:v>
                </c:pt>
                <c:pt idx="97">
                  <c:v>LO125</c:v>
                </c:pt>
                <c:pt idx="98">
                  <c:v>LO126</c:v>
                </c:pt>
                <c:pt idx="99">
                  <c:v>LO127</c:v>
                </c:pt>
                <c:pt idx="100">
                  <c:v>LO128</c:v>
                </c:pt>
                <c:pt idx="101">
                  <c:v>LO131</c:v>
                </c:pt>
                <c:pt idx="102">
                  <c:v>LO132</c:v>
                </c:pt>
                <c:pt idx="103">
                  <c:v>LO134</c:v>
                </c:pt>
                <c:pt idx="104">
                  <c:v>LO134B</c:v>
                </c:pt>
                <c:pt idx="105">
                  <c:v>LO135</c:v>
                </c:pt>
                <c:pt idx="106">
                  <c:v>LO153</c:v>
                </c:pt>
                <c:pt idx="107">
                  <c:v>LO153A</c:v>
                </c:pt>
                <c:pt idx="108">
                  <c:v>LO153B</c:v>
                </c:pt>
                <c:pt idx="109">
                  <c:v>LO153C</c:v>
                </c:pt>
                <c:pt idx="110">
                  <c:v>LO159A</c:v>
                </c:pt>
                <c:pt idx="111">
                  <c:v>LO171</c:v>
                </c:pt>
                <c:pt idx="112">
                  <c:v>LO171C</c:v>
                </c:pt>
                <c:pt idx="113">
                  <c:v>LO172</c:v>
                </c:pt>
                <c:pt idx="114">
                  <c:v>LO173</c:v>
                </c:pt>
                <c:pt idx="115">
                  <c:v>LO174</c:v>
                </c:pt>
                <c:pt idx="116">
                  <c:v>LO175</c:v>
                </c:pt>
              </c:strCache>
            </c:strRef>
          </c:cat>
          <c:val>
            <c:numRef>
              <c:f>'prueba grace y pozos'!$F$33:$DR$33</c:f>
              <c:numCache>
                <c:formatCode>General</c:formatCode>
                <c:ptCount val="117"/>
              </c:numCache>
            </c:numRef>
          </c:val>
          <c:extLst>
            <c:ext xmlns:c16="http://schemas.microsoft.com/office/drawing/2014/chart" uri="{C3380CC4-5D6E-409C-BE32-E72D297353CC}">
              <c16:uniqueId val="{0000001E-CE28-474E-9A6F-05A63104D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7659407"/>
        <c:axId val="1294019327"/>
      </c:barChart>
      <c:catAx>
        <c:axId val="133765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94019327"/>
        <c:crosses val="autoZero"/>
        <c:auto val="1"/>
        <c:lblAlgn val="ctr"/>
        <c:lblOffset val="100"/>
        <c:noMultiLvlLbl val="0"/>
      </c:catAx>
      <c:valAx>
        <c:axId val="129401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3765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'prueba grace y pozos'!$D$8</c:f>
              <c:strCache>
                <c:ptCount val="1"/>
                <c:pt idx="0">
                  <c:v>anual grace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'prueba grace y pozos'!$C$9:$C$31</c:f>
              <c:numCache>
                <c:formatCode>General</c:formatCode>
                <c:ptCount val="23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cat>
          <c:val>
            <c:numRef>
              <c:f>'prueba grace y pozos'!$D$9:$D$31</c:f>
              <c:numCache>
                <c:formatCode>0.00</c:formatCode>
                <c:ptCount val="23"/>
                <c:pt idx="0">
                  <c:v>4.9150271387969156</c:v>
                </c:pt>
                <c:pt idx="1">
                  <c:v>4.3565168942102988</c:v>
                </c:pt>
                <c:pt idx="2">
                  <c:v>4.0387013628723034</c:v>
                </c:pt>
                <c:pt idx="3">
                  <c:v>-1.0424588206676795</c:v>
                </c:pt>
                <c:pt idx="4">
                  <c:v>-1.028897738236175</c:v>
                </c:pt>
                <c:pt idx="5">
                  <c:v>0.44848390901786001</c:v>
                </c:pt>
                <c:pt idx="6">
                  <c:v>0.71160959880541597</c:v>
                </c:pt>
                <c:pt idx="7">
                  <c:v>-3.1274383117916855</c:v>
                </c:pt>
                <c:pt idx="8">
                  <c:v>5.2702430677438477</c:v>
                </c:pt>
                <c:pt idx="9">
                  <c:v>4.8686287494589475</c:v>
                </c:pt>
                <c:pt idx="10">
                  <c:v>1.4136868359762391</c:v>
                </c:pt>
                <c:pt idx="11">
                  <c:v>-1.8343609004999404</c:v>
                </c:pt>
                <c:pt idx="12">
                  <c:v>3.6344784149906491</c:v>
                </c:pt>
                <c:pt idx="13">
                  <c:v>-2.7122263202294925</c:v>
                </c:pt>
                <c:pt idx="14">
                  <c:v>-6.7756130159428096</c:v>
                </c:pt>
                <c:pt idx="15">
                  <c:v>-15.748095779886009</c:v>
                </c:pt>
                <c:pt idx="16">
                  <c:v>1.4234391186884203</c:v>
                </c:pt>
                <c:pt idx="17">
                  <c:v>-10.848649765987302</c:v>
                </c:pt>
                <c:pt idx="18">
                  <c:v>-13.503811046671879</c:v>
                </c:pt>
                <c:pt idx="19">
                  <c:v>-12.782798656899482</c:v>
                </c:pt>
                <c:pt idx="20">
                  <c:v>-10.979056520044734</c:v>
                </c:pt>
                <c:pt idx="21">
                  <c:v>-24.148673834702759</c:v>
                </c:pt>
                <c:pt idx="22">
                  <c:v>-21.867561515068147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52-4456-9EEF-42335DF40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5067759"/>
        <c:axId val="1227466495"/>
      </c:lineChart>
      <c:catAx>
        <c:axId val="134506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27466495"/>
        <c:crosses val="autoZero"/>
        <c:auto val="0"/>
        <c:lblAlgn val="ctr"/>
        <c:lblOffset val="100"/>
        <c:noMultiLvlLbl val="0"/>
      </c:catAx>
      <c:valAx>
        <c:axId val="122746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45067759"/>
        <c:crossesAt val="0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5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GRACE vs Piezometria Libre Oriental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'prueba grace y pozos'!$F$2</c:f>
              <c:strCache>
                <c:ptCount val="1"/>
                <c:pt idx="0">
                  <c:v>LO001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pozos'!$F$3:$F$31</c:f>
              <c:numCache>
                <c:formatCode>General</c:formatCode>
                <c:ptCount val="29"/>
                <c:pt idx="0">
                  <c:v>60.8</c:v>
                </c:pt>
                <c:pt idx="1">
                  <c:v>61.85</c:v>
                </c:pt>
                <c:pt idx="6">
                  <c:v>59.87</c:v>
                </c:pt>
                <c:pt idx="12">
                  <c:v>61.1</c:v>
                </c:pt>
                <c:pt idx="17">
                  <c:v>60.41</c:v>
                </c:pt>
                <c:pt idx="26">
                  <c:v>65</c:v>
                </c:pt>
                <c:pt idx="27">
                  <c:v>62.19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49-45B5-A05C-3C9B77F2E0BA}"/>
            </c:ext>
          </c:extLst>
        </c:ser>
        <c:ser>
          <c:idx val="2"/>
          <c:order val="1"/>
          <c:tx>
            <c:strRef>
              <c:f>'prueba grace y pozos'!$G$2</c:f>
              <c:strCache>
                <c:ptCount val="1"/>
                <c:pt idx="0">
                  <c:v>LO004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pozos'!$G$3:$G$31</c:f>
              <c:numCache>
                <c:formatCode>General</c:formatCode>
                <c:ptCount val="29"/>
                <c:pt idx="0">
                  <c:v>72</c:v>
                </c:pt>
                <c:pt idx="1">
                  <c:v>73.2</c:v>
                </c:pt>
                <c:pt idx="4">
                  <c:v>76</c:v>
                </c:pt>
                <c:pt idx="12">
                  <c:v>77.7</c:v>
                </c:pt>
                <c:pt idx="17">
                  <c:v>75.75</c:v>
                </c:pt>
                <c:pt idx="26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49-45B5-A05C-3C9B77F2E0BA}"/>
            </c:ext>
          </c:extLst>
        </c:ser>
        <c:ser>
          <c:idx val="3"/>
          <c:order val="2"/>
          <c:tx>
            <c:strRef>
              <c:f>'prueba grace y pozos'!$H$2</c:f>
              <c:strCache>
                <c:ptCount val="1"/>
                <c:pt idx="0">
                  <c:v>LO006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pozos'!$H$3:$H$31</c:f>
              <c:numCache>
                <c:formatCode>General</c:formatCode>
                <c:ptCount val="29"/>
                <c:pt idx="0">
                  <c:v>63</c:v>
                </c:pt>
                <c:pt idx="6">
                  <c:v>72.430000000000007</c:v>
                </c:pt>
                <c:pt idx="12">
                  <c:v>74.05</c:v>
                </c:pt>
                <c:pt idx="17">
                  <c:v>69.7</c:v>
                </c:pt>
                <c:pt idx="26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49-45B5-A05C-3C9B77F2E0BA}"/>
            </c:ext>
          </c:extLst>
        </c:ser>
        <c:ser>
          <c:idx val="4"/>
          <c:order val="3"/>
          <c:tx>
            <c:strRef>
              <c:f>'prueba grace y pozos'!$I$2</c:f>
              <c:strCache>
                <c:ptCount val="1"/>
                <c:pt idx="0">
                  <c:v>LO008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pozos'!$I$3:$I$31</c:f>
              <c:numCache>
                <c:formatCode>General</c:formatCode>
                <c:ptCount val="29"/>
                <c:pt idx="1">
                  <c:v>219</c:v>
                </c:pt>
                <c:pt idx="4">
                  <c:v>220.28</c:v>
                </c:pt>
                <c:pt idx="6">
                  <c:v>200.88</c:v>
                </c:pt>
                <c:pt idx="12">
                  <c:v>207.4</c:v>
                </c:pt>
                <c:pt idx="17">
                  <c:v>207.5</c:v>
                </c:pt>
                <c:pt idx="26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49-45B5-A05C-3C9B77F2E0BA}"/>
            </c:ext>
          </c:extLst>
        </c:ser>
        <c:ser>
          <c:idx val="5"/>
          <c:order val="4"/>
          <c:tx>
            <c:strRef>
              <c:f>'prueba grace y pozos'!$J$2</c:f>
              <c:strCache>
                <c:ptCount val="1"/>
                <c:pt idx="0">
                  <c:v>LO011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pozos'!$J$3:$J$31</c:f>
              <c:numCache>
                <c:formatCode>General</c:formatCode>
                <c:ptCount val="29"/>
                <c:pt idx="0">
                  <c:v>197.82</c:v>
                </c:pt>
                <c:pt idx="1">
                  <c:v>198.35</c:v>
                </c:pt>
                <c:pt idx="4">
                  <c:v>199.46</c:v>
                </c:pt>
                <c:pt idx="6">
                  <c:v>200.35</c:v>
                </c:pt>
                <c:pt idx="12">
                  <c:v>205.4</c:v>
                </c:pt>
                <c:pt idx="17">
                  <c:v>200</c:v>
                </c:pt>
                <c:pt idx="26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49-45B5-A05C-3C9B77F2E0BA}"/>
            </c:ext>
          </c:extLst>
        </c:ser>
        <c:ser>
          <c:idx val="6"/>
          <c:order val="5"/>
          <c:tx>
            <c:strRef>
              <c:f>'prueba grace y pozos'!$K$2</c:f>
              <c:strCache>
                <c:ptCount val="1"/>
                <c:pt idx="0">
                  <c:v>LO0117-A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pozos'!$K$3:$K$31</c:f>
              <c:numCache>
                <c:formatCode>General</c:formatCode>
                <c:ptCount val="29"/>
                <c:pt idx="27">
                  <c:v>63.78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49-45B5-A05C-3C9B77F2E0BA}"/>
            </c:ext>
          </c:extLst>
        </c:ser>
        <c:ser>
          <c:idx val="7"/>
          <c:order val="6"/>
          <c:tx>
            <c:strRef>
              <c:f>'prueba grace y pozos'!$L$2</c:f>
              <c:strCache>
                <c:ptCount val="1"/>
                <c:pt idx="0">
                  <c:v>LO012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pozos'!$L$3:$L$31</c:f>
              <c:numCache>
                <c:formatCode>General</c:formatCode>
                <c:ptCount val="29"/>
                <c:pt idx="0">
                  <c:v>76</c:v>
                </c:pt>
                <c:pt idx="1">
                  <c:v>76</c:v>
                </c:pt>
                <c:pt idx="4">
                  <c:v>76.75</c:v>
                </c:pt>
                <c:pt idx="6">
                  <c:v>76.959999999999994</c:v>
                </c:pt>
                <c:pt idx="12">
                  <c:v>78.89</c:v>
                </c:pt>
                <c:pt idx="17">
                  <c:v>79.61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49-45B5-A05C-3C9B77F2E0BA}"/>
            </c:ext>
          </c:extLst>
        </c:ser>
        <c:ser>
          <c:idx val="8"/>
          <c:order val="7"/>
          <c:tx>
            <c:strRef>
              <c:f>'prueba grace y pozos'!$M$2</c:f>
              <c:strCache>
                <c:ptCount val="1"/>
                <c:pt idx="0">
                  <c:v>LO013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pozos'!$M$3:$M$31</c:f>
              <c:numCache>
                <c:formatCode>General</c:formatCode>
                <c:ptCount val="29"/>
                <c:pt idx="0">
                  <c:v>60</c:v>
                </c:pt>
                <c:pt idx="1">
                  <c:v>58.2</c:v>
                </c:pt>
                <c:pt idx="4">
                  <c:v>58.8</c:v>
                </c:pt>
                <c:pt idx="6">
                  <c:v>59.42</c:v>
                </c:pt>
                <c:pt idx="12">
                  <c:v>61.76</c:v>
                </c:pt>
                <c:pt idx="17">
                  <c:v>61.88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49-45B5-A05C-3C9B77F2E0BA}"/>
            </c:ext>
          </c:extLst>
        </c:ser>
        <c:ser>
          <c:idx val="9"/>
          <c:order val="8"/>
          <c:tx>
            <c:strRef>
              <c:f>'prueba grace y pozos'!$N$2</c:f>
              <c:strCache>
                <c:ptCount val="1"/>
                <c:pt idx="0">
                  <c:v>LO013A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pozos'!$N$3:$N$31</c:f>
              <c:numCache>
                <c:formatCode>General</c:formatCode>
                <c:ptCount val="29"/>
                <c:pt idx="27">
                  <c:v>77.709999999999994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49-45B5-A05C-3C9B77F2E0BA}"/>
            </c:ext>
          </c:extLst>
        </c:ser>
        <c:ser>
          <c:idx val="10"/>
          <c:order val="9"/>
          <c:tx>
            <c:strRef>
              <c:f>'prueba grace y pozos'!$O$2</c:f>
              <c:strCache>
                <c:ptCount val="1"/>
                <c:pt idx="0">
                  <c:v>LO015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pozos'!$O$3:$O$31</c:f>
              <c:numCache>
                <c:formatCode>General</c:formatCode>
                <c:ptCount val="29"/>
                <c:pt idx="6">
                  <c:v>72.209999999999994</c:v>
                </c:pt>
                <c:pt idx="12">
                  <c:v>74.23</c:v>
                </c:pt>
                <c:pt idx="27">
                  <c:v>76.510000000000005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49-45B5-A05C-3C9B77F2E0BA}"/>
            </c:ext>
          </c:extLst>
        </c:ser>
        <c:ser>
          <c:idx val="11"/>
          <c:order val="10"/>
          <c:tx>
            <c:strRef>
              <c:f>'prueba grace y pozos'!$P$2</c:f>
              <c:strCache>
                <c:ptCount val="1"/>
                <c:pt idx="0">
                  <c:v>LO016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pozos'!$P$3:$P$31</c:f>
              <c:numCache>
                <c:formatCode>General</c:formatCode>
                <c:ptCount val="29"/>
                <c:pt idx="0">
                  <c:v>22.56</c:v>
                </c:pt>
                <c:pt idx="4">
                  <c:v>23.7</c:v>
                </c:pt>
                <c:pt idx="6">
                  <c:v>24.18</c:v>
                </c:pt>
                <c:pt idx="12">
                  <c:v>25.15</c:v>
                </c:pt>
                <c:pt idx="17">
                  <c:v>29.2</c:v>
                </c:pt>
                <c:pt idx="2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E49-45B5-A05C-3C9B77F2E0BA}"/>
            </c:ext>
          </c:extLst>
        </c:ser>
        <c:ser>
          <c:idx val="12"/>
          <c:order val="11"/>
          <c:tx>
            <c:strRef>
              <c:f>'prueba grace y pozos'!$Q$2</c:f>
              <c:strCache>
                <c:ptCount val="1"/>
                <c:pt idx="0">
                  <c:v>LO017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pozos'!$Q$3:$Q$31</c:f>
              <c:numCache>
                <c:formatCode>General</c:formatCode>
                <c:ptCount val="29"/>
                <c:pt idx="6">
                  <c:v>53.68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49-45B5-A05C-3C9B77F2E0BA}"/>
            </c:ext>
          </c:extLst>
        </c:ser>
        <c:ser>
          <c:idx val="13"/>
          <c:order val="12"/>
          <c:tx>
            <c:strRef>
              <c:f>'prueba grace y pozos'!$R$2</c:f>
              <c:strCache>
                <c:ptCount val="1"/>
                <c:pt idx="0">
                  <c:v>LO018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pozos'!$R$3:$R$31</c:f>
              <c:numCache>
                <c:formatCode>General</c:formatCode>
                <c:ptCount val="29"/>
                <c:pt idx="0">
                  <c:v>40</c:v>
                </c:pt>
                <c:pt idx="1">
                  <c:v>42.45</c:v>
                </c:pt>
                <c:pt idx="4">
                  <c:v>44</c:v>
                </c:pt>
                <c:pt idx="6">
                  <c:v>44.87</c:v>
                </c:pt>
                <c:pt idx="12">
                  <c:v>46.97</c:v>
                </c:pt>
                <c:pt idx="17">
                  <c:v>47.21</c:v>
                </c:pt>
                <c:pt idx="26">
                  <c:v>49.63</c:v>
                </c:pt>
                <c:pt idx="27">
                  <c:v>52.41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E49-45B5-A05C-3C9B77F2E0BA}"/>
            </c:ext>
          </c:extLst>
        </c:ser>
        <c:ser>
          <c:idx val="14"/>
          <c:order val="13"/>
          <c:tx>
            <c:strRef>
              <c:f>'prueba grace y pozos'!$S$2</c:f>
              <c:strCache>
                <c:ptCount val="1"/>
                <c:pt idx="0">
                  <c:v>LO019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pozos'!$S$3:$S$31</c:f>
              <c:numCache>
                <c:formatCode>General</c:formatCode>
                <c:ptCount val="29"/>
                <c:pt idx="0">
                  <c:v>38</c:v>
                </c:pt>
                <c:pt idx="1">
                  <c:v>38</c:v>
                </c:pt>
                <c:pt idx="4">
                  <c:v>38.270000000000003</c:v>
                </c:pt>
                <c:pt idx="6">
                  <c:v>38.700000000000003</c:v>
                </c:pt>
                <c:pt idx="12">
                  <c:v>39.31</c:v>
                </c:pt>
                <c:pt idx="17">
                  <c:v>40.090000000000003</c:v>
                </c:pt>
                <c:pt idx="26">
                  <c:v>60</c:v>
                </c:pt>
                <c:pt idx="27">
                  <c:v>59.63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E49-45B5-A05C-3C9B77F2E0BA}"/>
            </c:ext>
          </c:extLst>
        </c:ser>
        <c:ser>
          <c:idx val="15"/>
          <c:order val="14"/>
          <c:tx>
            <c:strRef>
              <c:f>'prueba grace y pozos'!$T$2</c:f>
              <c:strCache>
                <c:ptCount val="1"/>
                <c:pt idx="0">
                  <c:v>LO020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pozos'!$T$3:$T$31</c:f>
              <c:numCache>
                <c:formatCode>General</c:formatCode>
                <c:ptCount val="29"/>
                <c:pt idx="0">
                  <c:v>25</c:v>
                </c:pt>
                <c:pt idx="4">
                  <c:v>17</c:v>
                </c:pt>
                <c:pt idx="6">
                  <c:v>20.46</c:v>
                </c:pt>
                <c:pt idx="12">
                  <c:v>21.62</c:v>
                </c:pt>
                <c:pt idx="17">
                  <c:v>21.78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E49-45B5-A05C-3C9B77F2E0BA}"/>
            </c:ext>
          </c:extLst>
        </c:ser>
        <c:ser>
          <c:idx val="16"/>
          <c:order val="15"/>
          <c:tx>
            <c:strRef>
              <c:f>'prueba grace y pozos'!$U$2</c:f>
              <c:strCache>
                <c:ptCount val="1"/>
                <c:pt idx="0">
                  <c:v>LO021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pozos'!$U$3:$U$31</c:f>
              <c:numCache>
                <c:formatCode>General</c:formatCode>
                <c:ptCount val="29"/>
                <c:pt idx="6">
                  <c:v>12.73</c:v>
                </c:pt>
                <c:pt idx="12">
                  <c:v>13.55</c:v>
                </c:pt>
                <c:pt idx="17">
                  <c:v>13.7</c:v>
                </c:pt>
                <c:pt idx="27">
                  <c:v>20.010000000000002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E49-45B5-A05C-3C9B77F2E0BA}"/>
            </c:ext>
          </c:extLst>
        </c:ser>
        <c:ser>
          <c:idx val="17"/>
          <c:order val="16"/>
          <c:tx>
            <c:strRef>
              <c:f>'prueba grace y pozos'!$V$2</c:f>
              <c:strCache>
                <c:ptCount val="1"/>
                <c:pt idx="0">
                  <c:v>LO022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pozos'!$V$3:$V$31</c:f>
              <c:numCache>
                <c:formatCode>General</c:formatCode>
                <c:ptCount val="29"/>
                <c:pt idx="1">
                  <c:v>10.8</c:v>
                </c:pt>
                <c:pt idx="4">
                  <c:v>11.2</c:v>
                </c:pt>
                <c:pt idx="6">
                  <c:v>11.2</c:v>
                </c:pt>
                <c:pt idx="12">
                  <c:v>12.65</c:v>
                </c:pt>
                <c:pt idx="17">
                  <c:v>12.75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E49-45B5-A05C-3C9B77F2E0BA}"/>
            </c:ext>
          </c:extLst>
        </c:ser>
        <c:ser>
          <c:idx val="18"/>
          <c:order val="17"/>
          <c:tx>
            <c:strRef>
              <c:f>'prueba grace y pozos'!$W$2</c:f>
              <c:strCache>
                <c:ptCount val="1"/>
                <c:pt idx="0">
                  <c:v>LO023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pozos'!$W$3:$W$31</c:f>
              <c:numCache>
                <c:formatCode>General</c:formatCode>
                <c:ptCount val="29"/>
                <c:pt idx="0">
                  <c:v>11.38</c:v>
                </c:pt>
                <c:pt idx="1">
                  <c:v>12.4</c:v>
                </c:pt>
                <c:pt idx="4">
                  <c:v>12.17</c:v>
                </c:pt>
                <c:pt idx="6">
                  <c:v>12.35</c:v>
                </c:pt>
                <c:pt idx="12">
                  <c:v>13.15</c:v>
                </c:pt>
                <c:pt idx="17">
                  <c:v>16.100000000000001</c:v>
                </c:pt>
                <c:pt idx="26">
                  <c:v>18</c:v>
                </c:pt>
                <c:pt idx="27">
                  <c:v>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E49-45B5-A05C-3C9B77F2E0BA}"/>
            </c:ext>
          </c:extLst>
        </c:ser>
        <c:ser>
          <c:idx val="19"/>
          <c:order val="18"/>
          <c:tx>
            <c:strRef>
              <c:f>'prueba grace y pozos'!$X$2</c:f>
              <c:strCache>
                <c:ptCount val="1"/>
                <c:pt idx="0">
                  <c:v>LO023A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pozos'!$X$3:$X$31</c:f>
              <c:numCache>
                <c:formatCode>General</c:formatCode>
                <c:ptCount val="29"/>
                <c:pt idx="27">
                  <c:v>21.8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E49-45B5-A05C-3C9B77F2E0BA}"/>
            </c:ext>
          </c:extLst>
        </c:ser>
        <c:ser>
          <c:idx val="20"/>
          <c:order val="19"/>
          <c:tx>
            <c:strRef>
              <c:f>'prueba grace y pozos'!$Y$2</c:f>
              <c:strCache>
                <c:ptCount val="1"/>
                <c:pt idx="0">
                  <c:v>LO024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pozos'!$Y$3:$Y$31</c:f>
              <c:numCache>
                <c:formatCode>General</c:formatCode>
                <c:ptCount val="29"/>
                <c:pt idx="4">
                  <c:v>8.11</c:v>
                </c:pt>
                <c:pt idx="6">
                  <c:v>8.67</c:v>
                </c:pt>
                <c:pt idx="12">
                  <c:v>9.02</c:v>
                </c:pt>
                <c:pt idx="17">
                  <c:v>22.4</c:v>
                </c:pt>
                <c:pt idx="26">
                  <c:v>30</c:v>
                </c:pt>
                <c:pt idx="27">
                  <c:v>10.87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E49-45B5-A05C-3C9B77F2E0BA}"/>
            </c:ext>
          </c:extLst>
        </c:ser>
        <c:ser>
          <c:idx val="21"/>
          <c:order val="20"/>
          <c:tx>
            <c:strRef>
              <c:f>'prueba grace y pozos'!$Z$2</c:f>
              <c:strCache>
                <c:ptCount val="1"/>
                <c:pt idx="0">
                  <c:v>LO025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pozos'!$Z$3:$Z$31</c:f>
              <c:numCache>
                <c:formatCode>General</c:formatCode>
                <c:ptCount val="29"/>
                <c:pt idx="0">
                  <c:v>48</c:v>
                </c:pt>
                <c:pt idx="1">
                  <c:v>52.3</c:v>
                </c:pt>
                <c:pt idx="4">
                  <c:v>53.55</c:v>
                </c:pt>
                <c:pt idx="6">
                  <c:v>54.2</c:v>
                </c:pt>
                <c:pt idx="12">
                  <c:v>56.05</c:v>
                </c:pt>
                <c:pt idx="17">
                  <c:v>56.15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E49-45B5-A05C-3C9B77F2E0BA}"/>
            </c:ext>
          </c:extLst>
        </c:ser>
        <c:ser>
          <c:idx val="22"/>
          <c:order val="21"/>
          <c:tx>
            <c:strRef>
              <c:f>'prueba grace y pozos'!$AA$2</c:f>
              <c:strCache>
                <c:ptCount val="1"/>
                <c:pt idx="0">
                  <c:v>LO025A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pozos'!$AA$3:$AA$31</c:f>
              <c:numCache>
                <c:formatCode>General</c:formatCode>
                <c:ptCount val="29"/>
                <c:pt idx="26">
                  <c:v>63.2</c:v>
                </c:pt>
                <c:pt idx="27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E49-45B5-A05C-3C9B77F2E0BA}"/>
            </c:ext>
          </c:extLst>
        </c:ser>
        <c:ser>
          <c:idx val="23"/>
          <c:order val="22"/>
          <c:tx>
            <c:strRef>
              <c:f>'prueba grace y pozos'!$AB$2</c:f>
              <c:strCache>
                <c:ptCount val="1"/>
                <c:pt idx="0">
                  <c:v>LO025B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pozos'!$AB$3:$AB$31</c:f>
              <c:numCache>
                <c:formatCode>General</c:formatCode>
                <c:ptCount val="29"/>
                <c:pt idx="27">
                  <c:v>65.91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E49-45B5-A05C-3C9B77F2E0BA}"/>
            </c:ext>
          </c:extLst>
        </c:ser>
        <c:ser>
          <c:idx val="24"/>
          <c:order val="23"/>
          <c:tx>
            <c:strRef>
              <c:f>'prueba grace y pozos'!$AC$2</c:f>
              <c:strCache>
                <c:ptCount val="1"/>
                <c:pt idx="0">
                  <c:v>LO028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pozos'!$AC$3:$AC$31</c:f>
              <c:numCache>
                <c:formatCode>General</c:formatCode>
                <c:ptCount val="29"/>
                <c:pt idx="0">
                  <c:v>11.92</c:v>
                </c:pt>
                <c:pt idx="1">
                  <c:v>12</c:v>
                </c:pt>
                <c:pt idx="4">
                  <c:v>12.35</c:v>
                </c:pt>
                <c:pt idx="6">
                  <c:v>12.87</c:v>
                </c:pt>
                <c:pt idx="12">
                  <c:v>13.44</c:v>
                </c:pt>
                <c:pt idx="17">
                  <c:v>14.16</c:v>
                </c:pt>
                <c:pt idx="26">
                  <c:v>16</c:v>
                </c:pt>
                <c:pt idx="27">
                  <c:v>20.71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9-45B5-A05C-3C9B77F2E0BA}"/>
            </c:ext>
          </c:extLst>
        </c:ser>
        <c:ser>
          <c:idx val="25"/>
          <c:order val="24"/>
          <c:tx>
            <c:strRef>
              <c:f>'prueba grace y pozos'!$AD$2</c:f>
              <c:strCache>
                <c:ptCount val="1"/>
                <c:pt idx="0">
                  <c:v>LO029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pozos'!$AD$3:$AD$31</c:f>
              <c:numCache>
                <c:formatCode>General</c:formatCode>
                <c:ptCount val="29"/>
                <c:pt idx="0">
                  <c:v>5.5</c:v>
                </c:pt>
                <c:pt idx="4">
                  <c:v>5.9</c:v>
                </c:pt>
                <c:pt idx="6">
                  <c:v>10.47</c:v>
                </c:pt>
                <c:pt idx="26">
                  <c:v>54</c:v>
                </c:pt>
                <c:pt idx="27">
                  <c:v>29.2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E49-45B5-A05C-3C9B77F2E0BA}"/>
            </c:ext>
          </c:extLst>
        </c:ser>
        <c:ser>
          <c:idx val="26"/>
          <c:order val="25"/>
          <c:tx>
            <c:strRef>
              <c:f>'prueba grace y pozos'!$AE$2</c:f>
              <c:strCache>
                <c:ptCount val="1"/>
                <c:pt idx="0">
                  <c:v>LO030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pozos'!$AE$3:$AE$31</c:f>
              <c:numCache>
                <c:formatCode>General</c:formatCode>
                <c:ptCount val="29"/>
                <c:pt idx="0">
                  <c:v>13</c:v>
                </c:pt>
                <c:pt idx="1">
                  <c:v>13.4</c:v>
                </c:pt>
                <c:pt idx="4">
                  <c:v>14.07</c:v>
                </c:pt>
                <c:pt idx="6">
                  <c:v>15.31</c:v>
                </c:pt>
                <c:pt idx="12">
                  <c:v>16.95</c:v>
                </c:pt>
                <c:pt idx="17">
                  <c:v>18.149999999999999</c:v>
                </c:pt>
                <c:pt idx="2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E49-45B5-A05C-3C9B77F2E0BA}"/>
            </c:ext>
          </c:extLst>
        </c:ser>
        <c:ser>
          <c:idx val="27"/>
          <c:order val="26"/>
          <c:tx>
            <c:strRef>
              <c:f>'prueba grace y pozos'!$AF$2</c:f>
              <c:strCache>
                <c:ptCount val="1"/>
                <c:pt idx="0">
                  <c:v>LO032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pozos'!$AF$3:$AF$31</c:f>
              <c:numCache>
                <c:formatCode>General</c:formatCode>
                <c:ptCount val="29"/>
                <c:pt idx="0">
                  <c:v>28</c:v>
                </c:pt>
                <c:pt idx="4">
                  <c:v>37.549999999999997</c:v>
                </c:pt>
                <c:pt idx="6">
                  <c:v>26.04</c:v>
                </c:pt>
                <c:pt idx="12">
                  <c:v>27.33</c:v>
                </c:pt>
                <c:pt idx="17">
                  <c:v>27.7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E49-45B5-A05C-3C9B77F2E0BA}"/>
            </c:ext>
          </c:extLst>
        </c:ser>
        <c:ser>
          <c:idx val="28"/>
          <c:order val="27"/>
          <c:tx>
            <c:strRef>
              <c:f>'prueba grace y pozos'!$AG$2</c:f>
              <c:strCache>
                <c:ptCount val="1"/>
                <c:pt idx="0">
                  <c:v>LO032A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pozos'!$AG$3:$AG$31</c:f>
              <c:numCache>
                <c:formatCode>General</c:formatCode>
                <c:ptCount val="29"/>
                <c:pt idx="26">
                  <c:v>34.020000000000003</c:v>
                </c:pt>
                <c:pt idx="27">
                  <c:v>34.700000000000003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E49-45B5-A05C-3C9B77F2E0BA}"/>
            </c:ext>
          </c:extLst>
        </c:ser>
        <c:ser>
          <c:idx val="29"/>
          <c:order val="28"/>
          <c:tx>
            <c:strRef>
              <c:f>'prueba grace y pozos'!$AH$2</c:f>
              <c:strCache>
                <c:ptCount val="1"/>
                <c:pt idx="0">
                  <c:v>LO033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pozos'!$AH$3:$AH$31</c:f>
              <c:numCache>
                <c:formatCode>General</c:formatCode>
                <c:ptCount val="29"/>
                <c:pt idx="1">
                  <c:v>2.4</c:v>
                </c:pt>
                <c:pt idx="4">
                  <c:v>2.94</c:v>
                </c:pt>
                <c:pt idx="6">
                  <c:v>4.1900000000000004</c:v>
                </c:pt>
                <c:pt idx="12">
                  <c:v>5.0999999999999996</c:v>
                </c:pt>
                <c:pt idx="17">
                  <c:v>4.55</c:v>
                </c:pt>
                <c:pt idx="26">
                  <c:v>15</c:v>
                </c:pt>
                <c:pt idx="27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E49-45B5-A05C-3C9B77F2E0BA}"/>
            </c:ext>
          </c:extLst>
        </c:ser>
        <c:ser>
          <c:idx val="30"/>
          <c:order val="29"/>
          <c:tx>
            <c:strRef>
              <c:f>'prueba grace y pozos'!$AI$2</c:f>
              <c:strCache>
                <c:ptCount val="1"/>
                <c:pt idx="0">
                  <c:v>LO034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pozos'!$AI$3:$AI$31</c:f>
              <c:numCache>
                <c:formatCode>General</c:formatCode>
                <c:ptCount val="29"/>
                <c:pt idx="0">
                  <c:v>8.52</c:v>
                </c:pt>
                <c:pt idx="1">
                  <c:v>8.5399999999999991</c:v>
                </c:pt>
                <c:pt idx="4">
                  <c:v>7.74</c:v>
                </c:pt>
                <c:pt idx="6">
                  <c:v>8.27</c:v>
                </c:pt>
                <c:pt idx="12">
                  <c:v>8.57</c:v>
                </c:pt>
                <c:pt idx="17">
                  <c:v>8.0500000000000007</c:v>
                </c:pt>
                <c:pt idx="26">
                  <c:v>9</c:v>
                </c:pt>
                <c:pt idx="27">
                  <c:v>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E49-45B5-A05C-3C9B77F2E0BA}"/>
            </c:ext>
          </c:extLst>
        </c:ser>
        <c:ser>
          <c:idx val="31"/>
          <c:order val="30"/>
          <c:tx>
            <c:strRef>
              <c:f>'prueba grace y pozos'!$AJ$2</c:f>
              <c:strCache>
                <c:ptCount val="1"/>
                <c:pt idx="0">
                  <c:v>LO035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pozos'!$AJ$3:$AJ$31</c:f>
              <c:numCache>
                <c:formatCode>General</c:formatCode>
                <c:ptCount val="29"/>
                <c:pt idx="0">
                  <c:v>7.49</c:v>
                </c:pt>
                <c:pt idx="1">
                  <c:v>8.61</c:v>
                </c:pt>
                <c:pt idx="4">
                  <c:v>8.65</c:v>
                </c:pt>
                <c:pt idx="6">
                  <c:v>8.9700000000000006</c:v>
                </c:pt>
                <c:pt idx="12">
                  <c:v>9.4499999999999993</c:v>
                </c:pt>
                <c:pt idx="17">
                  <c:v>7.9</c:v>
                </c:pt>
                <c:pt idx="27">
                  <c:v>6.74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E49-45B5-A05C-3C9B77F2E0BA}"/>
            </c:ext>
          </c:extLst>
        </c:ser>
        <c:ser>
          <c:idx val="32"/>
          <c:order val="31"/>
          <c:tx>
            <c:strRef>
              <c:f>'prueba grace y pozos'!$AK$2</c:f>
              <c:strCache>
                <c:ptCount val="1"/>
                <c:pt idx="0">
                  <c:v>LO036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pozos'!$AK$3:$AK$31</c:f>
              <c:numCache>
                <c:formatCode>General</c:formatCode>
                <c:ptCount val="29"/>
                <c:pt idx="0">
                  <c:v>1.5</c:v>
                </c:pt>
                <c:pt idx="1">
                  <c:v>2.15</c:v>
                </c:pt>
                <c:pt idx="4">
                  <c:v>2.63</c:v>
                </c:pt>
                <c:pt idx="6">
                  <c:v>3.14</c:v>
                </c:pt>
                <c:pt idx="12">
                  <c:v>3.88</c:v>
                </c:pt>
                <c:pt idx="27">
                  <c:v>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E49-45B5-A05C-3C9B77F2E0BA}"/>
            </c:ext>
          </c:extLst>
        </c:ser>
        <c:ser>
          <c:idx val="33"/>
          <c:order val="32"/>
          <c:tx>
            <c:strRef>
              <c:f>'prueba grace y pozos'!$AL$2</c:f>
              <c:strCache>
                <c:ptCount val="1"/>
                <c:pt idx="0">
                  <c:v>LO039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pozos'!$AL$3:$AL$31</c:f>
              <c:numCache>
                <c:formatCode>General</c:formatCode>
                <c:ptCount val="29"/>
                <c:pt idx="0">
                  <c:v>9</c:v>
                </c:pt>
                <c:pt idx="1">
                  <c:v>8.7799999999999994</c:v>
                </c:pt>
                <c:pt idx="4">
                  <c:v>8.8000000000000007</c:v>
                </c:pt>
                <c:pt idx="6">
                  <c:v>6.25</c:v>
                </c:pt>
                <c:pt idx="12">
                  <c:v>6.9</c:v>
                </c:pt>
                <c:pt idx="17">
                  <c:v>6.9</c:v>
                </c:pt>
                <c:pt idx="2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6E49-45B5-A05C-3C9B77F2E0BA}"/>
            </c:ext>
          </c:extLst>
        </c:ser>
        <c:ser>
          <c:idx val="34"/>
          <c:order val="33"/>
          <c:tx>
            <c:strRef>
              <c:f>'prueba grace y pozos'!$AM$2</c:f>
              <c:strCache>
                <c:ptCount val="1"/>
                <c:pt idx="0">
                  <c:v>LO039A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pozos'!$AM$3:$AM$31</c:f>
              <c:numCache>
                <c:formatCode>General</c:formatCode>
                <c:ptCount val="29"/>
                <c:pt idx="27">
                  <c:v>12.73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E49-45B5-A05C-3C9B77F2E0BA}"/>
            </c:ext>
          </c:extLst>
        </c:ser>
        <c:ser>
          <c:idx val="35"/>
          <c:order val="34"/>
          <c:tx>
            <c:strRef>
              <c:f>'prueba grace y pozos'!$AN$2</c:f>
              <c:strCache>
                <c:ptCount val="1"/>
                <c:pt idx="0">
                  <c:v>LO043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pozos'!$AN$3:$AN$31</c:f>
              <c:numCache>
                <c:formatCode>General</c:formatCode>
                <c:ptCount val="29"/>
                <c:pt idx="0">
                  <c:v>21.68</c:v>
                </c:pt>
                <c:pt idx="1">
                  <c:v>21.96</c:v>
                </c:pt>
                <c:pt idx="4">
                  <c:v>22.38</c:v>
                </c:pt>
                <c:pt idx="6">
                  <c:v>22.82</c:v>
                </c:pt>
                <c:pt idx="12">
                  <c:v>24.05</c:v>
                </c:pt>
                <c:pt idx="17">
                  <c:v>26.4</c:v>
                </c:pt>
                <c:pt idx="26">
                  <c:v>33.1</c:v>
                </c:pt>
                <c:pt idx="27">
                  <c:v>24.11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E49-45B5-A05C-3C9B77F2E0BA}"/>
            </c:ext>
          </c:extLst>
        </c:ser>
        <c:ser>
          <c:idx val="36"/>
          <c:order val="35"/>
          <c:tx>
            <c:strRef>
              <c:f>'prueba grace y pozos'!$AO$2</c:f>
              <c:strCache>
                <c:ptCount val="1"/>
                <c:pt idx="0">
                  <c:v>LO043A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pozos'!$AO$3:$AO$31</c:f>
              <c:numCache>
                <c:formatCode>General</c:formatCode>
                <c:ptCount val="29"/>
                <c:pt idx="26">
                  <c:v>13.8</c:v>
                </c:pt>
                <c:pt idx="27">
                  <c:v>13.85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E49-45B5-A05C-3C9B77F2E0BA}"/>
            </c:ext>
          </c:extLst>
        </c:ser>
        <c:ser>
          <c:idx val="37"/>
          <c:order val="36"/>
          <c:tx>
            <c:strRef>
              <c:f>'prueba grace y pozos'!$AP$2</c:f>
              <c:strCache>
                <c:ptCount val="1"/>
                <c:pt idx="0">
                  <c:v>LO043B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pozos'!$AP$3:$AP$31</c:f>
              <c:numCache>
                <c:formatCode>General</c:formatCode>
                <c:ptCount val="29"/>
                <c:pt idx="27">
                  <c:v>11.41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6E49-45B5-A05C-3C9B77F2E0BA}"/>
            </c:ext>
          </c:extLst>
        </c:ser>
        <c:ser>
          <c:idx val="38"/>
          <c:order val="37"/>
          <c:tx>
            <c:strRef>
              <c:f>'prueba grace y pozos'!$AQ$2</c:f>
              <c:strCache>
                <c:ptCount val="1"/>
                <c:pt idx="0">
                  <c:v>LO046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pozos'!$AQ$3:$AQ$31</c:f>
              <c:numCache>
                <c:formatCode>General</c:formatCode>
                <c:ptCount val="29"/>
                <c:pt idx="0">
                  <c:v>28.23</c:v>
                </c:pt>
                <c:pt idx="1">
                  <c:v>28.32</c:v>
                </c:pt>
                <c:pt idx="4">
                  <c:v>27.05</c:v>
                </c:pt>
                <c:pt idx="6">
                  <c:v>26.77</c:v>
                </c:pt>
                <c:pt idx="12">
                  <c:v>26.97</c:v>
                </c:pt>
                <c:pt idx="17">
                  <c:v>27.15</c:v>
                </c:pt>
                <c:pt idx="26">
                  <c:v>28</c:v>
                </c:pt>
                <c:pt idx="27">
                  <c:v>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6E49-45B5-A05C-3C9B77F2E0BA}"/>
            </c:ext>
          </c:extLst>
        </c:ser>
        <c:ser>
          <c:idx val="39"/>
          <c:order val="38"/>
          <c:tx>
            <c:strRef>
              <c:f>'prueba grace y pozos'!$AR$2</c:f>
              <c:strCache>
                <c:ptCount val="1"/>
                <c:pt idx="0">
                  <c:v>LO047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pozos'!$AR$3:$AR$31</c:f>
              <c:numCache>
                <c:formatCode>General</c:formatCode>
                <c:ptCount val="29"/>
                <c:pt idx="4">
                  <c:v>6.27</c:v>
                </c:pt>
                <c:pt idx="6">
                  <c:v>6.3</c:v>
                </c:pt>
                <c:pt idx="12">
                  <c:v>6.45</c:v>
                </c:pt>
                <c:pt idx="17">
                  <c:v>5.7</c:v>
                </c:pt>
                <c:pt idx="26">
                  <c:v>4.13</c:v>
                </c:pt>
                <c:pt idx="27">
                  <c:v>7.31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6E49-45B5-A05C-3C9B77F2E0BA}"/>
            </c:ext>
          </c:extLst>
        </c:ser>
        <c:ser>
          <c:idx val="40"/>
          <c:order val="39"/>
          <c:tx>
            <c:strRef>
              <c:f>'prueba grace y pozos'!$AS$2</c:f>
              <c:strCache>
                <c:ptCount val="1"/>
                <c:pt idx="0">
                  <c:v>LO048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pozos'!$AS$3:$AS$31</c:f>
              <c:numCache>
                <c:formatCode>General</c:formatCode>
                <c:ptCount val="29"/>
                <c:pt idx="4">
                  <c:v>10.199999999999999</c:v>
                </c:pt>
                <c:pt idx="6">
                  <c:v>10.3</c:v>
                </c:pt>
                <c:pt idx="12">
                  <c:v>11.13</c:v>
                </c:pt>
                <c:pt idx="17">
                  <c:v>12.2</c:v>
                </c:pt>
                <c:pt idx="27">
                  <c:v>16.690000000000001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E49-45B5-A05C-3C9B77F2E0BA}"/>
            </c:ext>
          </c:extLst>
        </c:ser>
        <c:ser>
          <c:idx val="41"/>
          <c:order val="40"/>
          <c:tx>
            <c:strRef>
              <c:f>'prueba grace y pozos'!$AT$2</c:f>
              <c:strCache>
                <c:ptCount val="1"/>
                <c:pt idx="0">
                  <c:v>LO055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pozos'!$AT$3:$AT$31</c:f>
              <c:numCache>
                <c:formatCode>General</c:formatCode>
                <c:ptCount val="29"/>
                <c:pt idx="0">
                  <c:v>10.91</c:v>
                </c:pt>
                <c:pt idx="1">
                  <c:v>10.85</c:v>
                </c:pt>
                <c:pt idx="4">
                  <c:v>10.96</c:v>
                </c:pt>
                <c:pt idx="6">
                  <c:v>10.86</c:v>
                </c:pt>
                <c:pt idx="12">
                  <c:v>10.97</c:v>
                </c:pt>
                <c:pt idx="17">
                  <c:v>10.73</c:v>
                </c:pt>
                <c:pt idx="26">
                  <c:v>10.1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6E49-45B5-A05C-3C9B77F2E0BA}"/>
            </c:ext>
          </c:extLst>
        </c:ser>
        <c:ser>
          <c:idx val="42"/>
          <c:order val="41"/>
          <c:tx>
            <c:strRef>
              <c:f>'prueba grace y pozos'!$AU$2</c:f>
              <c:strCache>
                <c:ptCount val="1"/>
                <c:pt idx="0">
                  <c:v>LO055B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pozos'!$AU$3:$AU$31</c:f>
              <c:numCache>
                <c:formatCode>General</c:formatCode>
                <c:ptCount val="29"/>
                <c:pt idx="27">
                  <c:v>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6E49-45B5-A05C-3C9B77F2E0BA}"/>
            </c:ext>
          </c:extLst>
        </c:ser>
        <c:ser>
          <c:idx val="43"/>
          <c:order val="42"/>
          <c:tx>
            <c:strRef>
              <c:f>'prueba grace y pozos'!$AV$2</c:f>
              <c:strCache>
                <c:ptCount val="1"/>
                <c:pt idx="0">
                  <c:v>LO056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pozos'!$AV$3:$AV$31</c:f>
              <c:numCache>
                <c:formatCode>General</c:formatCode>
                <c:ptCount val="29"/>
                <c:pt idx="0">
                  <c:v>140</c:v>
                </c:pt>
                <c:pt idx="1">
                  <c:v>94.6</c:v>
                </c:pt>
                <c:pt idx="4">
                  <c:v>95.24</c:v>
                </c:pt>
                <c:pt idx="6">
                  <c:v>96.13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6E49-45B5-A05C-3C9B77F2E0BA}"/>
            </c:ext>
          </c:extLst>
        </c:ser>
        <c:ser>
          <c:idx val="44"/>
          <c:order val="43"/>
          <c:tx>
            <c:strRef>
              <c:f>'prueba grace y pozos'!$AW$2</c:f>
              <c:strCache>
                <c:ptCount val="1"/>
                <c:pt idx="0">
                  <c:v>LO057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pozos'!$AW$3:$AW$31</c:f>
              <c:numCache>
                <c:formatCode>General</c:formatCode>
                <c:ptCount val="29"/>
                <c:pt idx="0">
                  <c:v>5.17</c:v>
                </c:pt>
                <c:pt idx="1">
                  <c:v>5.51</c:v>
                </c:pt>
                <c:pt idx="4">
                  <c:v>6</c:v>
                </c:pt>
                <c:pt idx="6">
                  <c:v>8.34</c:v>
                </c:pt>
                <c:pt idx="12">
                  <c:v>8.5</c:v>
                </c:pt>
                <c:pt idx="26">
                  <c:v>6.14</c:v>
                </c:pt>
                <c:pt idx="27">
                  <c:v>7.53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6E49-45B5-A05C-3C9B77F2E0BA}"/>
            </c:ext>
          </c:extLst>
        </c:ser>
        <c:ser>
          <c:idx val="45"/>
          <c:order val="44"/>
          <c:tx>
            <c:strRef>
              <c:f>'prueba grace y pozos'!$AX$2</c:f>
              <c:strCache>
                <c:ptCount val="1"/>
                <c:pt idx="0">
                  <c:v>LO061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pozos'!$AX$3:$AX$31</c:f>
              <c:numCache>
                <c:formatCode>General</c:formatCode>
                <c:ptCount val="29"/>
                <c:pt idx="0">
                  <c:v>48.71</c:v>
                </c:pt>
                <c:pt idx="1">
                  <c:v>50</c:v>
                </c:pt>
                <c:pt idx="4">
                  <c:v>49.94</c:v>
                </c:pt>
                <c:pt idx="6">
                  <c:v>50.13</c:v>
                </c:pt>
                <c:pt idx="12">
                  <c:v>52.65</c:v>
                </c:pt>
                <c:pt idx="17">
                  <c:v>53.41</c:v>
                </c:pt>
                <c:pt idx="2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6E49-45B5-A05C-3C9B77F2E0BA}"/>
            </c:ext>
          </c:extLst>
        </c:ser>
        <c:ser>
          <c:idx val="46"/>
          <c:order val="45"/>
          <c:tx>
            <c:strRef>
              <c:f>'prueba grace y pozos'!$AY$2</c:f>
              <c:strCache>
                <c:ptCount val="1"/>
                <c:pt idx="0">
                  <c:v>LO062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pozos'!$AY$3:$AY$31</c:f>
              <c:numCache>
                <c:formatCode>General</c:formatCode>
                <c:ptCount val="29"/>
                <c:pt idx="1">
                  <c:v>73.900000000000006</c:v>
                </c:pt>
                <c:pt idx="4">
                  <c:v>74</c:v>
                </c:pt>
                <c:pt idx="6">
                  <c:v>74.069999999999993</c:v>
                </c:pt>
                <c:pt idx="12">
                  <c:v>75.55</c:v>
                </c:pt>
                <c:pt idx="17">
                  <c:v>77.2</c:v>
                </c:pt>
                <c:pt idx="26">
                  <c:v>90</c:v>
                </c:pt>
                <c:pt idx="27">
                  <c:v>79.8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6E49-45B5-A05C-3C9B77F2E0BA}"/>
            </c:ext>
          </c:extLst>
        </c:ser>
        <c:ser>
          <c:idx val="47"/>
          <c:order val="46"/>
          <c:tx>
            <c:strRef>
              <c:f>'prueba grace y pozos'!$AZ$2</c:f>
              <c:strCache>
                <c:ptCount val="1"/>
                <c:pt idx="0">
                  <c:v>LO067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pozos'!$AZ$3:$AZ$31</c:f>
              <c:numCache>
                <c:formatCode>General</c:formatCode>
                <c:ptCount val="29"/>
                <c:pt idx="0">
                  <c:v>3.4</c:v>
                </c:pt>
                <c:pt idx="1">
                  <c:v>3.4</c:v>
                </c:pt>
                <c:pt idx="4">
                  <c:v>3.39</c:v>
                </c:pt>
                <c:pt idx="6">
                  <c:v>3.41</c:v>
                </c:pt>
                <c:pt idx="12">
                  <c:v>3.65</c:v>
                </c:pt>
                <c:pt idx="17">
                  <c:v>3.4</c:v>
                </c:pt>
                <c:pt idx="26">
                  <c:v>3.63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6E49-45B5-A05C-3C9B77F2E0BA}"/>
            </c:ext>
          </c:extLst>
        </c:ser>
        <c:ser>
          <c:idx val="48"/>
          <c:order val="47"/>
          <c:tx>
            <c:strRef>
              <c:f>'prueba grace y pozos'!$BA$2</c:f>
              <c:strCache>
                <c:ptCount val="1"/>
                <c:pt idx="0">
                  <c:v>LO068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pozos'!$BA$3:$BA$31</c:f>
              <c:numCache>
                <c:formatCode>General</c:formatCode>
                <c:ptCount val="29"/>
                <c:pt idx="0">
                  <c:v>33.35</c:v>
                </c:pt>
                <c:pt idx="1">
                  <c:v>33.200000000000003</c:v>
                </c:pt>
                <c:pt idx="4">
                  <c:v>33.26</c:v>
                </c:pt>
                <c:pt idx="6">
                  <c:v>34.119999999999997</c:v>
                </c:pt>
                <c:pt idx="12">
                  <c:v>35.340000000000003</c:v>
                </c:pt>
                <c:pt idx="26">
                  <c:v>57</c:v>
                </c:pt>
                <c:pt idx="27">
                  <c:v>36.26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6E49-45B5-A05C-3C9B77F2E0BA}"/>
            </c:ext>
          </c:extLst>
        </c:ser>
        <c:ser>
          <c:idx val="49"/>
          <c:order val="48"/>
          <c:tx>
            <c:strRef>
              <c:f>'prueba grace y pozos'!$BB$2</c:f>
              <c:strCache>
                <c:ptCount val="1"/>
                <c:pt idx="0">
                  <c:v>LO069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pozos'!$BB$3:$BB$31</c:f>
              <c:numCache>
                <c:formatCode>General</c:formatCode>
                <c:ptCount val="29"/>
                <c:pt idx="0">
                  <c:v>54.5</c:v>
                </c:pt>
                <c:pt idx="1">
                  <c:v>53.94</c:v>
                </c:pt>
                <c:pt idx="4">
                  <c:v>53.94</c:v>
                </c:pt>
                <c:pt idx="6">
                  <c:v>38.450000000000003</c:v>
                </c:pt>
                <c:pt idx="12">
                  <c:v>41.4</c:v>
                </c:pt>
                <c:pt idx="26">
                  <c:v>47.3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6E49-45B5-A05C-3C9B77F2E0BA}"/>
            </c:ext>
          </c:extLst>
        </c:ser>
        <c:ser>
          <c:idx val="50"/>
          <c:order val="49"/>
          <c:tx>
            <c:strRef>
              <c:f>'prueba grace y pozos'!$BC$2</c:f>
              <c:strCache>
                <c:ptCount val="1"/>
                <c:pt idx="0">
                  <c:v>LO070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pozos'!$BC$3:$BC$31</c:f>
              <c:numCache>
                <c:formatCode>General</c:formatCode>
                <c:ptCount val="29"/>
                <c:pt idx="0">
                  <c:v>9.1999999999999993</c:v>
                </c:pt>
                <c:pt idx="1">
                  <c:v>9.48</c:v>
                </c:pt>
                <c:pt idx="4">
                  <c:v>10.02</c:v>
                </c:pt>
                <c:pt idx="6">
                  <c:v>10.6</c:v>
                </c:pt>
                <c:pt idx="12">
                  <c:v>11.5</c:v>
                </c:pt>
                <c:pt idx="17">
                  <c:v>12.15</c:v>
                </c:pt>
                <c:pt idx="2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6E49-45B5-A05C-3C9B77F2E0BA}"/>
            </c:ext>
          </c:extLst>
        </c:ser>
        <c:ser>
          <c:idx val="51"/>
          <c:order val="50"/>
          <c:tx>
            <c:strRef>
              <c:f>'prueba grace y pozos'!$BD$2</c:f>
              <c:strCache>
                <c:ptCount val="1"/>
                <c:pt idx="0">
                  <c:v>LO070B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pozos'!$BD$3:$BD$31</c:f>
              <c:numCache>
                <c:formatCode>General</c:formatCode>
                <c:ptCount val="29"/>
                <c:pt idx="27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6E49-45B5-A05C-3C9B77F2E0BA}"/>
            </c:ext>
          </c:extLst>
        </c:ser>
        <c:ser>
          <c:idx val="52"/>
          <c:order val="51"/>
          <c:tx>
            <c:strRef>
              <c:f>'prueba grace y pozos'!$BE$2</c:f>
              <c:strCache>
                <c:ptCount val="1"/>
                <c:pt idx="0">
                  <c:v>LO071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pozos'!$BE$3:$BE$31</c:f>
              <c:numCache>
                <c:formatCode>General</c:formatCode>
                <c:ptCount val="29"/>
                <c:pt idx="0">
                  <c:v>26.51</c:v>
                </c:pt>
                <c:pt idx="1">
                  <c:v>26.85</c:v>
                </c:pt>
                <c:pt idx="4">
                  <c:v>27.73</c:v>
                </c:pt>
                <c:pt idx="6">
                  <c:v>28.34</c:v>
                </c:pt>
                <c:pt idx="12">
                  <c:v>29.8</c:v>
                </c:pt>
                <c:pt idx="17">
                  <c:v>30.7</c:v>
                </c:pt>
                <c:pt idx="26">
                  <c:v>36</c:v>
                </c:pt>
                <c:pt idx="27">
                  <c:v>34.130000000000003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6E49-45B5-A05C-3C9B77F2E0BA}"/>
            </c:ext>
          </c:extLst>
        </c:ser>
        <c:ser>
          <c:idx val="53"/>
          <c:order val="52"/>
          <c:tx>
            <c:strRef>
              <c:f>'prueba grace y pozos'!$BF$2</c:f>
              <c:strCache>
                <c:ptCount val="1"/>
                <c:pt idx="0">
                  <c:v>LO074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pozos'!$BF$3:$BF$31</c:f>
              <c:numCache>
                <c:formatCode>General</c:formatCode>
                <c:ptCount val="29"/>
                <c:pt idx="1">
                  <c:v>0.25</c:v>
                </c:pt>
                <c:pt idx="4">
                  <c:v>0.25</c:v>
                </c:pt>
                <c:pt idx="6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6E49-45B5-A05C-3C9B77F2E0BA}"/>
            </c:ext>
          </c:extLst>
        </c:ser>
        <c:ser>
          <c:idx val="54"/>
          <c:order val="53"/>
          <c:tx>
            <c:strRef>
              <c:f>'prueba grace y pozos'!$BG$2</c:f>
              <c:strCache>
                <c:ptCount val="1"/>
                <c:pt idx="0">
                  <c:v>LO075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pozos'!$BG$3:$BG$31</c:f>
              <c:numCache>
                <c:formatCode>General</c:formatCode>
                <c:ptCount val="29"/>
                <c:pt idx="0">
                  <c:v>55.13</c:v>
                </c:pt>
                <c:pt idx="1">
                  <c:v>56</c:v>
                </c:pt>
                <c:pt idx="4">
                  <c:v>55.7</c:v>
                </c:pt>
                <c:pt idx="6">
                  <c:v>56.52</c:v>
                </c:pt>
                <c:pt idx="12">
                  <c:v>57.4</c:v>
                </c:pt>
                <c:pt idx="17">
                  <c:v>59.13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6E49-45B5-A05C-3C9B77F2E0BA}"/>
            </c:ext>
          </c:extLst>
        </c:ser>
        <c:ser>
          <c:idx val="55"/>
          <c:order val="54"/>
          <c:tx>
            <c:strRef>
              <c:f>'prueba grace y pozos'!$BH$2</c:f>
              <c:strCache>
                <c:ptCount val="1"/>
                <c:pt idx="0">
                  <c:v>LO079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pozos'!$BH$3:$BH$31</c:f>
              <c:numCache>
                <c:formatCode>General</c:formatCode>
                <c:ptCount val="29"/>
                <c:pt idx="0">
                  <c:v>55.21</c:v>
                </c:pt>
                <c:pt idx="1">
                  <c:v>55.35</c:v>
                </c:pt>
                <c:pt idx="4">
                  <c:v>56.04</c:v>
                </c:pt>
                <c:pt idx="6">
                  <c:v>60.37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6E49-45B5-A05C-3C9B77F2E0BA}"/>
            </c:ext>
          </c:extLst>
        </c:ser>
        <c:ser>
          <c:idx val="56"/>
          <c:order val="55"/>
          <c:tx>
            <c:strRef>
              <c:f>'prueba grace y pozos'!$BI$2</c:f>
              <c:strCache>
                <c:ptCount val="1"/>
                <c:pt idx="0">
                  <c:v>LO081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pozos'!$BI$3:$BI$31</c:f>
              <c:numCache>
                <c:formatCode>General</c:formatCode>
                <c:ptCount val="29"/>
                <c:pt idx="1">
                  <c:v>34</c:v>
                </c:pt>
                <c:pt idx="4">
                  <c:v>56.91</c:v>
                </c:pt>
                <c:pt idx="6">
                  <c:v>58.36</c:v>
                </c:pt>
                <c:pt idx="27">
                  <c:v>60.9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6E49-45B5-A05C-3C9B77F2E0BA}"/>
            </c:ext>
          </c:extLst>
        </c:ser>
        <c:ser>
          <c:idx val="57"/>
          <c:order val="56"/>
          <c:tx>
            <c:strRef>
              <c:f>'prueba grace y pozos'!$BJ$2</c:f>
              <c:strCache>
                <c:ptCount val="1"/>
                <c:pt idx="0">
                  <c:v>LO083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pozos'!$BJ$3:$BJ$31</c:f>
              <c:numCache>
                <c:formatCode>General</c:formatCode>
                <c:ptCount val="29"/>
                <c:pt idx="0">
                  <c:v>41.32</c:v>
                </c:pt>
                <c:pt idx="4">
                  <c:v>43.1</c:v>
                </c:pt>
                <c:pt idx="6">
                  <c:v>44</c:v>
                </c:pt>
                <c:pt idx="27">
                  <c:v>52.65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6E49-45B5-A05C-3C9B77F2E0BA}"/>
            </c:ext>
          </c:extLst>
        </c:ser>
        <c:ser>
          <c:idx val="58"/>
          <c:order val="57"/>
          <c:tx>
            <c:strRef>
              <c:f>'prueba grace y pozos'!$BK$2</c:f>
              <c:strCache>
                <c:ptCount val="1"/>
                <c:pt idx="0">
                  <c:v>LO084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pozos'!$BK$3:$BK$31</c:f>
              <c:numCache>
                <c:formatCode>General</c:formatCode>
                <c:ptCount val="29"/>
                <c:pt idx="0">
                  <c:v>0.88</c:v>
                </c:pt>
                <c:pt idx="4">
                  <c:v>0.75</c:v>
                </c:pt>
                <c:pt idx="6">
                  <c:v>1.44</c:v>
                </c:pt>
                <c:pt idx="12">
                  <c:v>1.6</c:v>
                </c:pt>
                <c:pt idx="17">
                  <c:v>2.0099999999999998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6E49-45B5-A05C-3C9B77F2E0BA}"/>
            </c:ext>
          </c:extLst>
        </c:ser>
        <c:ser>
          <c:idx val="59"/>
          <c:order val="58"/>
          <c:tx>
            <c:strRef>
              <c:f>'prueba grace y pozos'!$BL$2</c:f>
              <c:strCache>
                <c:ptCount val="1"/>
                <c:pt idx="0">
                  <c:v>LO085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pozos'!$BL$3:$BL$31</c:f>
              <c:numCache>
                <c:formatCode>General</c:formatCode>
                <c:ptCount val="29"/>
                <c:pt idx="4">
                  <c:v>57.57</c:v>
                </c:pt>
                <c:pt idx="6">
                  <c:v>62.27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6E49-45B5-A05C-3C9B77F2E0BA}"/>
            </c:ext>
          </c:extLst>
        </c:ser>
        <c:ser>
          <c:idx val="60"/>
          <c:order val="59"/>
          <c:tx>
            <c:strRef>
              <c:f>'prueba grace y pozos'!$BM$2</c:f>
              <c:strCache>
                <c:ptCount val="1"/>
                <c:pt idx="0">
                  <c:v>LO086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pozos'!$BM$3:$BM$31</c:f>
              <c:numCache>
                <c:formatCode>General</c:formatCode>
                <c:ptCount val="29"/>
                <c:pt idx="6">
                  <c:v>4.92</c:v>
                </c:pt>
                <c:pt idx="12">
                  <c:v>5.35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6E49-45B5-A05C-3C9B77F2E0BA}"/>
            </c:ext>
          </c:extLst>
        </c:ser>
        <c:ser>
          <c:idx val="61"/>
          <c:order val="60"/>
          <c:tx>
            <c:strRef>
              <c:f>'prueba grace y pozos'!$BN$2</c:f>
              <c:strCache>
                <c:ptCount val="1"/>
                <c:pt idx="0">
                  <c:v>LO087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pozos'!$BN$3:$BN$31</c:f>
              <c:numCache>
                <c:formatCode>General</c:formatCode>
                <c:ptCount val="29"/>
                <c:pt idx="0">
                  <c:v>90</c:v>
                </c:pt>
                <c:pt idx="1">
                  <c:v>93.7</c:v>
                </c:pt>
                <c:pt idx="4">
                  <c:v>108.58</c:v>
                </c:pt>
                <c:pt idx="6">
                  <c:v>110.7</c:v>
                </c:pt>
                <c:pt idx="27">
                  <c:v>112.6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6E49-45B5-A05C-3C9B77F2E0BA}"/>
            </c:ext>
          </c:extLst>
        </c:ser>
        <c:ser>
          <c:idx val="62"/>
          <c:order val="61"/>
          <c:tx>
            <c:strRef>
              <c:f>'prueba grace y pozos'!$BO$2</c:f>
              <c:strCache>
                <c:ptCount val="1"/>
                <c:pt idx="0">
                  <c:v>LO088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pozos'!$BO$3:$BO$31</c:f>
              <c:numCache>
                <c:formatCode>General</c:formatCode>
                <c:ptCount val="29"/>
                <c:pt idx="0">
                  <c:v>0.33</c:v>
                </c:pt>
                <c:pt idx="1">
                  <c:v>0.5</c:v>
                </c:pt>
                <c:pt idx="4">
                  <c:v>2.1</c:v>
                </c:pt>
                <c:pt idx="6">
                  <c:v>2.04</c:v>
                </c:pt>
                <c:pt idx="12">
                  <c:v>2.56</c:v>
                </c:pt>
                <c:pt idx="17">
                  <c:v>1.1499999999999999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6E49-45B5-A05C-3C9B77F2E0BA}"/>
            </c:ext>
          </c:extLst>
        </c:ser>
        <c:ser>
          <c:idx val="63"/>
          <c:order val="62"/>
          <c:tx>
            <c:strRef>
              <c:f>'prueba grace y pozos'!$BP$2</c:f>
              <c:strCache>
                <c:ptCount val="1"/>
                <c:pt idx="0">
                  <c:v>LO089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pozos'!$BP$3:$BP$31</c:f>
              <c:numCache>
                <c:formatCode>General</c:formatCode>
                <c:ptCount val="29"/>
                <c:pt idx="0">
                  <c:v>8.57</c:v>
                </c:pt>
                <c:pt idx="1">
                  <c:v>8.6999999999999993</c:v>
                </c:pt>
                <c:pt idx="4">
                  <c:v>9.65</c:v>
                </c:pt>
                <c:pt idx="6">
                  <c:v>10.84</c:v>
                </c:pt>
                <c:pt idx="12">
                  <c:v>12.25</c:v>
                </c:pt>
                <c:pt idx="17">
                  <c:v>13.18</c:v>
                </c:pt>
                <c:pt idx="26">
                  <c:v>30</c:v>
                </c:pt>
                <c:pt idx="27">
                  <c:v>23.48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6E49-45B5-A05C-3C9B77F2E0BA}"/>
            </c:ext>
          </c:extLst>
        </c:ser>
        <c:ser>
          <c:idx val="64"/>
          <c:order val="63"/>
          <c:tx>
            <c:strRef>
              <c:f>'prueba grace y pozos'!$BQ$2</c:f>
              <c:strCache>
                <c:ptCount val="1"/>
                <c:pt idx="0">
                  <c:v>LO090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pozos'!$BQ$3:$BQ$31</c:f>
              <c:numCache>
                <c:formatCode>General</c:formatCode>
                <c:ptCount val="29"/>
                <c:pt idx="0">
                  <c:v>2.91</c:v>
                </c:pt>
                <c:pt idx="1">
                  <c:v>3.15</c:v>
                </c:pt>
                <c:pt idx="4">
                  <c:v>3.32</c:v>
                </c:pt>
                <c:pt idx="6">
                  <c:v>4.0999999999999996</c:v>
                </c:pt>
                <c:pt idx="12">
                  <c:v>5.05</c:v>
                </c:pt>
                <c:pt idx="17">
                  <c:v>5.0999999999999996</c:v>
                </c:pt>
                <c:pt idx="26">
                  <c:v>15</c:v>
                </c:pt>
                <c:pt idx="27">
                  <c:v>14.25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6E49-45B5-A05C-3C9B77F2E0BA}"/>
            </c:ext>
          </c:extLst>
        </c:ser>
        <c:ser>
          <c:idx val="65"/>
          <c:order val="64"/>
          <c:tx>
            <c:strRef>
              <c:f>'prueba grace y pozos'!$BR$2</c:f>
              <c:strCache>
                <c:ptCount val="1"/>
                <c:pt idx="0">
                  <c:v>LO091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pozos'!$BR$3:$BR$31</c:f>
              <c:numCache>
                <c:formatCode>General</c:formatCode>
                <c:ptCount val="29"/>
                <c:pt idx="0">
                  <c:v>6.3</c:v>
                </c:pt>
                <c:pt idx="4">
                  <c:v>6.8</c:v>
                </c:pt>
                <c:pt idx="6">
                  <c:v>6.41</c:v>
                </c:pt>
                <c:pt idx="12">
                  <c:v>6.55</c:v>
                </c:pt>
                <c:pt idx="17">
                  <c:v>7</c:v>
                </c:pt>
                <c:pt idx="2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6E49-45B5-A05C-3C9B77F2E0BA}"/>
            </c:ext>
          </c:extLst>
        </c:ser>
        <c:ser>
          <c:idx val="66"/>
          <c:order val="65"/>
          <c:tx>
            <c:strRef>
              <c:f>'prueba grace y pozos'!$BS$2</c:f>
              <c:strCache>
                <c:ptCount val="1"/>
                <c:pt idx="0">
                  <c:v>LO092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pozos'!$BS$3:$BS$31</c:f>
              <c:numCache>
                <c:formatCode>General</c:formatCode>
                <c:ptCount val="29"/>
                <c:pt idx="0">
                  <c:v>97.03</c:v>
                </c:pt>
                <c:pt idx="1">
                  <c:v>97.34</c:v>
                </c:pt>
                <c:pt idx="4">
                  <c:v>97.45</c:v>
                </c:pt>
                <c:pt idx="6">
                  <c:v>97.85</c:v>
                </c:pt>
                <c:pt idx="12">
                  <c:v>100.3</c:v>
                </c:pt>
                <c:pt idx="17">
                  <c:v>100.55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6E49-45B5-A05C-3C9B77F2E0BA}"/>
            </c:ext>
          </c:extLst>
        </c:ser>
        <c:ser>
          <c:idx val="67"/>
          <c:order val="66"/>
          <c:tx>
            <c:strRef>
              <c:f>'prueba grace y pozos'!$BT$2</c:f>
              <c:strCache>
                <c:ptCount val="1"/>
                <c:pt idx="0">
                  <c:v>LO093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pozos'!$BT$3:$BT$31</c:f>
              <c:numCache>
                <c:formatCode>General</c:formatCode>
                <c:ptCount val="29"/>
                <c:pt idx="0">
                  <c:v>40</c:v>
                </c:pt>
                <c:pt idx="1">
                  <c:v>41.7</c:v>
                </c:pt>
                <c:pt idx="4">
                  <c:v>41.86</c:v>
                </c:pt>
                <c:pt idx="6">
                  <c:v>42.65</c:v>
                </c:pt>
                <c:pt idx="12">
                  <c:v>43.67</c:v>
                </c:pt>
                <c:pt idx="26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6E49-45B5-A05C-3C9B77F2E0BA}"/>
            </c:ext>
          </c:extLst>
        </c:ser>
        <c:ser>
          <c:idx val="68"/>
          <c:order val="67"/>
          <c:tx>
            <c:strRef>
              <c:f>'prueba grace y pozos'!$BU$2</c:f>
              <c:strCache>
                <c:ptCount val="1"/>
                <c:pt idx="0">
                  <c:v>LO094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pozos'!$BU$3:$BU$31</c:f>
              <c:numCache>
                <c:formatCode>General</c:formatCode>
                <c:ptCount val="29"/>
                <c:pt idx="0">
                  <c:v>1.62</c:v>
                </c:pt>
                <c:pt idx="6">
                  <c:v>1.75</c:v>
                </c:pt>
                <c:pt idx="12">
                  <c:v>2.0499999999999998</c:v>
                </c:pt>
                <c:pt idx="17">
                  <c:v>2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6E49-45B5-A05C-3C9B77F2E0BA}"/>
            </c:ext>
          </c:extLst>
        </c:ser>
        <c:ser>
          <c:idx val="69"/>
          <c:order val="68"/>
          <c:tx>
            <c:strRef>
              <c:f>'prueba grace y pozos'!$BV$2</c:f>
              <c:strCache>
                <c:ptCount val="1"/>
                <c:pt idx="0">
                  <c:v>LO095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pozos'!$BV$3:$BV$31</c:f>
              <c:numCache>
                <c:formatCode>General</c:formatCode>
                <c:ptCount val="29"/>
                <c:pt idx="1">
                  <c:v>14.4</c:v>
                </c:pt>
                <c:pt idx="4">
                  <c:v>15.98</c:v>
                </c:pt>
                <c:pt idx="6">
                  <c:v>16.57</c:v>
                </c:pt>
                <c:pt idx="12">
                  <c:v>17.98</c:v>
                </c:pt>
                <c:pt idx="17">
                  <c:v>18.8</c:v>
                </c:pt>
                <c:pt idx="26">
                  <c:v>25</c:v>
                </c:pt>
                <c:pt idx="27">
                  <c:v>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6E49-45B5-A05C-3C9B77F2E0BA}"/>
            </c:ext>
          </c:extLst>
        </c:ser>
        <c:ser>
          <c:idx val="70"/>
          <c:order val="69"/>
          <c:tx>
            <c:strRef>
              <c:f>'prueba grace y pozos'!$BW$2</c:f>
              <c:strCache>
                <c:ptCount val="1"/>
                <c:pt idx="0">
                  <c:v>LO096A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pozos'!$BW$3:$BW$31</c:f>
              <c:numCache>
                <c:formatCode>General</c:formatCode>
                <c:ptCount val="29"/>
                <c:pt idx="0">
                  <c:v>27</c:v>
                </c:pt>
                <c:pt idx="4">
                  <c:v>35</c:v>
                </c:pt>
                <c:pt idx="6">
                  <c:v>36.520000000000003</c:v>
                </c:pt>
                <c:pt idx="12">
                  <c:v>38.020000000000003</c:v>
                </c:pt>
                <c:pt idx="17">
                  <c:v>40.74</c:v>
                </c:pt>
                <c:pt idx="26">
                  <c:v>40</c:v>
                </c:pt>
                <c:pt idx="27">
                  <c:v>42.45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6E49-45B5-A05C-3C9B77F2E0BA}"/>
            </c:ext>
          </c:extLst>
        </c:ser>
        <c:ser>
          <c:idx val="71"/>
          <c:order val="70"/>
          <c:tx>
            <c:strRef>
              <c:f>'prueba grace y pozos'!$BX$2</c:f>
              <c:strCache>
                <c:ptCount val="1"/>
                <c:pt idx="0">
                  <c:v>LO098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pozos'!$BX$3:$BX$31</c:f>
              <c:numCache>
                <c:formatCode>General</c:formatCode>
                <c:ptCount val="29"/>
                <c:pt idx="6">
                  <c:v>2.6</c:v>
                </c:pt>
                <c:pt idx="12">
                  <c:v>2</c:v>
                </c:pt>
                <c:pt idx="27">
                  <c:v>10.42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6E49-45B5-A05C-3C9B77F2E0BA}"/>
            </c:ext>
          </c:extLst>
        </c:ser>
        <c:ser>
          <c:idx val="72"/>
          <c:order val="71"/>
          <c:tx>
            <c:strRef>
              <c:f>'prueba grace y pozos'!$BY$2</c:f>
              <c:strCache>
                <c:ptCount val="1"/>
                <c:pt idx="0">
                  <c:v>LO099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pozos'!$BY$3:$BY$31</c:f>
              <c:numCache>
                <c:formatCode>General</c:formatCode>
                <c:ptCount val="29"/>
                <c:pt idx="0">
                  <c:v>8.8000000000000007</c:v>
                </c:pt>
                <c:pt idx="1">
                  <c:v>8.6199999999999992</c:v>
                </c:pt>
                <c:pt idx="4">
                  <c:v>11.26</c:v>
                </c:pt>
                <c:pt idx="6">
                  <c:v>11.81</c:v>
                </c:pt>
                <c:pt idx="12">
                  <c:v>13.78</c:v>
                </c:pt>
                <c:pt idx="17">
                  <c:v>13.81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6E49-45B5-A05C-3C9B77F2E0BA}"/>
            </c:ext>
          </c:extLst>
        </c:ser>
        <c:ser>
          <c:idx val="73"/>
          <c:order val="72"/>
          <c:tx>
            <c:strRef>
              <c:f>'prueba grace y pozos'!$BZ$2</c:f>
              <c:strCache>
                <c:ptCount val="1"/>
                <c:pt idx="0">
                  <c:v>LO100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pozos'!$BZ$3:$BZ$31</c:f>
              <c:numCache>
                <c:formatCode>General</c:formatCode>
                <c:ptCount val="29"/>
                <c:pt idx="0">
                  <c:v>2.0699999999999998</c:v>
                </c:pt>
                <c:pt idx="1">
                  <c:v>2.2000000000000002</c:v>
                </c:pt>
                <c:pt idx="4">
                  <c:v>2.2400000000000002</c:v>
                </c:pt>
                <c:pt idx="6">
                  <c:v>2.2599999999999998</c:v>
                </c:pt>
                <c:pt idx="12">
                  <c:v>2.95</c:v>
                </c:pt>
                <c:pt idx="17">
                  <c:v>2.0699999999999998</c:v>
                </c:pt>
                <c:pt idx="26">
                  <c:v>2</c:v>
                </c:pt>
                <c:pt idx="27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6E49-45B5-A05C-3C9B77F2E0BA}"/>
            </c:ext>
          </c:extLst>
        </c:ser>
        <c:ser>
          <c:idx val="74"/>
          <c:order val="73"/>
          <c:tx>
            <c:strRef>
              <c:f>'prueba grace y pozos'!$CA$2</c:f>
              <c:strCache>
                <c:ptCount val="1"/>
                <c:pt idx="0">
                  <c:v>LO101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pozos'!$CA$3:$CA$31</c:f>
              <c:numCache>
                <c:formatCode>General</c:formatCode>
                <c:ptCount val="29"/>
                <c:pt idx="0">
                  <c:v>38.409999999999997</c:v>
                </c:pt>
                <c:pt idx="1">
                  <c:v>37.6</c:v>
                </c:pt>
                <c:pt idx="4">
                  <c:v>37.53</c:v>
                </c:pt>
                <c:pt idx="6">
                  <c:v>38.35</c:v>
                </c:pt>
                <c:pt idx="12">
                  <c:v>39.86</c:v>
                </c:pt>
                <c:pt idx="17">
                  <c:v>40.799999999999997</c:v>
                </c:pt>
                <c:pt idx="26">
                  <c:v>50</c:v>
                </c:pt>
                <c:pt idx="27">
                  <c:v>44.7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6E49-45B5-A05C-3C9B77F2E0BA}"/>
            </c:ext>
          </c:extLst>
        </c:ser>
        <c:ser>
          <c:idx val="75"/>
          <c:order val="74"/>
          <c:tx>
            <c:strRef>
              <c:f>'prueba grace y pozos'!$CB$2</c:f>
              <c:strCache>
                <c:ptCount val="1"/>
                <c:pt idx="0">
                  <c:v>LO103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pozos'!$CB$3:$CB$31</c:f>
              <c:numCache>
                <c:formatCode>General</c:formatCode>
                <c:ptCount val="29"/>
                <c:pt idx="4">
                  <c:v>20.86</c:v>
                </c:pt>
                <c:pt idx="6">
                  <c:v>20.25</c:v>
                </c:pt>
                <c:pt idx="12">
                  <c:v>19.66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6E49-45B5-A05C-3C9B77F2E0BA}"/>
            </c:ext>
          </c:extLst>
        </c:ser>
        <c:ser>
          <c:idx val="76"/>
          <c:order val="75"/>
          <c:tx>
            <c:strRef>
              <c:f>'prueba grace y pozos'!$CC$2</c:f>
              <c:strCache>
                <c:ptCount val="1"/>
                <c:pt idx="0">
                  <c:v>LO104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pozos'!$CC$3:$CC$31</c:f>
              <c:numCache>
                <c:formatCode>General</c:formatCode>
                <c:ptCount val="29"/>
                <c:pt idx="1">
                  <c:v>83.5</c:v>
                </c:pt>
                <c:pt idx="4">
                  <c:v>85.97</c:v>
                </c:pt>
                <c:pt idx="6">
                  <c:v>90</c:v>
                </c:pt>
                <c:pt idx="12">
                  <c:v>93.83</c:v>
                </c:pt>
                <c:pt idx="17">
                  <c:v>112.21</c:v>
                </c:pt>
                <c:pt idx="26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6E49-45B5-A05C-3C9B77F2E0BA}"/>
            </c:ext>
          </c:extLst>
        </c:ser>
        <c:ser>
          <c:idx val="77"/>
          <c:order val="76"/>
          <c:tx>
            <c:strRef>
              <c:f>'prueba grace y pozos'!$CD$2</c:f>
              <c:strCache>
                <c:ptCount val="1"/>
                <c:pt idx="0">
                  <c:v>LO105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pozos'!$CD$3:$CD$31</c:f>
              <c:numCache>
                <c:formatCode>General</c:formatCode>
                <c:ptCount val="29"/>
                <c:pt idx="0">
                  <c:v>35.020000000000003</c:v>
                </c:pt>
                <c:pt idx="1">
                  <c:v>35.28</c:v>
                </c:pt>
                <c:pt idx="4">
                  <c:v>35.840000000000003</c:v>
                </c:pt>
                <c:pt idx="6">
                  <c:v>36.36</c:v>
                </c:pt>
                <c:pt idx="26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6E49-45B5-A05C-3C9B77F2E0BA}"/>
            </c:ext>
          </c:extLst>
        </c:ser>
        <c:ser>
          <c:idx val="78"/>
          <c:order val="77"/>
          <c:tx>
            <c:strRef>
              <c:f>'prueba grace y pozos'!$CE$2</c:f>
              <c:strCache>
                <c:ptCount val="1"/>
                <c:pt idx="0">
                  <c:v>LO106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pozos'!$CE$3:$CE$31</c:f>
              <c:numCache>
                <c:formatCode>General</c:formatCode>
                <c:ptCount val="29"/>
                <c:pt idx="0">
                  <c:v>113.3</c:v>
                </c:pt>
                <c:pt idx="1">
                  <c:v>113.4</c:v>
                </c:pt>
                <c:pt idx="4">
                  <c:v>113.87</c:v>
                </c:pt>
                <c:pt idx="6">
                  <c:v>116.37</c:v>
                </c:pt>
                <c:pt idx="12">
                  <c:v>116.91</c:v>
                </c:pt>
                <c:pt idx="17">
                  <c:v>117.3</c:v>
                </c:pt>
                <c:pt idx="27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6E49-45B5-A05C-3C9B77F2E0BA}"/>
            </c:ext>
          </c:extLst>
        </c:ser>
        <c:ser>
          <c:idx val="79"/>
          <c:order val="78"/>
          <c:tx>
            <c:strRef>
              <c:f>'prueba grace y pozos'!$CF$2</c:f>
              <c:strCache>
                <c:ptCount val="1"/>
                <c:pt idx="0">
                  <c:v>LO107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pozos'!$CF$3:$CF$31</c:f>
              <c:numCache>
                <c:formatCode>General</c:formatCode>
                <c:ptCount val="29"/>
                <c:pt idx="0">
                  <c:v>1.58</c:v>
                </c:pt>
                <c:pt idx="1">
                  <c:v>1.6</c:v>
                </c:pt>
                <c:pt idx="4">
                  <c:v>1.5</c:v>
                </c:pt>
                <c:pt idx="6">
                  <c:v>1.67</c:v>
                </c:pt>
                <c:pt idx="12">
                  <c:v>1.94</c:v>
                </c:pt>
                <c:pt idx="17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6E49-45B5-A05C-3C9B77F2E0BA}"/>
            </c:ext>
          </c:extLst>
        </c:ser>
        <c:ser>
          <c:idx val="80"/>
          <c:order val="79"/>
          <c:tx>
            <c:strRef>
              <c:f>'prueba grace y pozos'!$CG$2</c:f>
              <c:strCache>
                <c:ptCount val="1"/>
                <c:pt idx="0">
                  <c:v>LO108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pozos'!$CG$3:$CG$31</c:f>
              <c:numCache>
                <c:formatCode>General</c:formatCode>
                <c:ptCount val="29"/>
                <c:pt idx="1">
                  <c:v>63.68</c:v>
                </c:pt>
                <c:pt idx="4">
                  <c:v>64.180000000000007</c:v>
                </c:pt>
                <c:pt idx="6">
                  <c:v>66.94</c:v>
                </c:pt>
                <c:pt idx="12">
                  <c:v>70.06</c:v>
                </c:pt>
                <c:pt idx="17">
                  <c:v>69.81</c:v>
                </c:pt>
                <c:pt idx="26">
                  <c:v>69</c:v>
                </c:pt>
                <c:pt idx="2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6E49-45B5-A05C-3C9B77F2E0BA}"/>
            </c:ext>
          </c:extLst>
        </c:ser>
        <c:ser>
          <c:idx val="81"/>
          <c:order val="80"/>
          <c:tx>
            <c:strRef>
              <c:f>'prueba grace y pozos'!$CH$2</c:f>
              <c:strCache>
                <c:ptCount val="1"/>
                <c:pt idx="0">
                  <c:v>LO109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pozos'!$CH$3:$CH$31</c:f>
              <c:numCache>
                <c:formatCode>General</c:formatCode>
                <c:ptCount val="29"/>
                <c:pt idx="1">
                  <c:v>18.62</c:v>
                </c:pt>
                <c:pt idx="4">
                  <c:v>18.78</c:v>
                </c:pt>
                <c:pt idx="6">
                  <c:v>18.89</c:v>
                </c:pt>
                <c:pt idx="12">
                  <c:v>20.149999999999999</c:v>
                </c:pt>
                <c:pt idx="2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6E49-45B5-A05C-3C9B77F2E0BA}"/>
            </c:ext>
          </c:extLst>
        </c:ser>
        <c:ser>
          <c:idx val="82"/>
          <c:order val="81"/>
          <c:tx>
            <c:strRef>
              <c:f>'prueba grace y pozos'!$CI$2</c:f>
              <c:strCache>
                <c:ptCount val="1"/>
                <c:pt idx="0">
                  <c:v>LO110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pozos'!$CI$3:$CI$31</c:f>
              <c:numCache>
                <c:formatCode>General</c:formatCode>
                <c:ptCount val="29"/>
                <c:pt idx="0">
                  <c:v>9.17</c:v>
                </c:pt>
                <c:pt idx="1">
                  <c:v>9</c:v>
                </c:pt>
                <c:pt idx="4">
                  <c:v>9.19</c:v>
                </c:pt>
                <c:pt idx="6">
                  <c:v>11.07</c:v>
                </c:pt>
                <c:pt idx="12">
                  <c:v>13.6</c:v>
                </c:pt>
                <c:pt idx="17">
                  <c:v>11.7</c:v>
                </c:pt>
                <c:pt idx="26">
                  <c:v>22</c:v>
                </c:pt>
                <c:pt idx="27">
                  <c:v>18.7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6E49-45B5-A05C-3C9B77F2E0BA}"/>
            </c:ext>
          </c:extLst>
        </c:ser>
        <c:ser>
          <c:idx val="83"/>
          <c:order val="82"/>
          <c:tx>
            <c:strRef>
              <c:f>'prueba grace y pozos'!$CJ$2</c:f>
              <c:strCache>
                <c:ptCount val="1"/>
                <c:pt idx="0">
                  <c:v>LO111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pozos'!$CJ$3:$CJ$31</c:f>
              <c:numCache>
                <c:formatCode>General</c:formatCode>
                <c:ptCount val="29"/>
                <c:pt idx="1">
                  <c:v>45.6</c:v>
                </c:pt>
                <c:pt idx="4">
                  <c:v>46.7</c:v>
                </c:pt>
                <c:pt idx="12">
                  <c:v>50.3</c:v>
                </c:pt>
                <c:pt idx="17">
                  <c:v>67</c:v>
                </c:pt>
                <c:pt idx="26">
                  <c:v>55</c:v>
                </c:pt>
                <c:pt idx="27">
                  <c:v>27.17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6E49-45B5-A05C-3C9B77F2E0BA}"/>
            </c:ext>
          </c:extLst>
        </c:ser>
        <c:ser>
          <c:idx val="84"/>
          <c:order val="83"/>
          <c:tx>
            <c:strRef>
              <c:f>'prueba grace y pozos'!$CK$2</c:f>
              <c:strCache>
                <c:ptCount val="1"/>
                <c:pt idx="0">
                  <c:v>LO112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pozos'!$CK$3:$CK$31</c:f>
              <c:numCache>
                <c:formatCode>General</c:formatCode>
                <c:ptCount val="29"/>
                <c:pt idx="0">
                  <c:v>6.53</c:v>
                </c:pt>
                <c:pt idx="1">
                  <c:v>4.95</c:v>
                </c:pt>
                <c:pt idx="4">
                  <c:v>6.46</c:v>
                </c:pt>
                <c:pt idx="6">
                  <c:v>6.24</c:v>
                </c:pt>
                <c:pt idx="12">
                  <c:v>7.47</c:v>
                </c:pt>
                <c:pt idx="17">
                  <c:v>7.5</c:v>
                </c:pt>
                <c:pt idx="2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6E49-45B5-A05C-3C9B77F2E0BA}"/>
            </c:ext>
          </c:extLst>
        </c:ser>
        <c:ser>
          <c:idx val="85"/>
          <c:order val="84"/>
          <c:tx>
            <c:strRef>
              <c:f>'prueba grace y pozos'!$CL$2</c:f>
              <c:strCache>
                <c:ptCount val="1"/>
                <c:pt idx="0">
                  <c:v>LO113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pozos'!$CL$3:$CL$31</c:f>
              <c:numCache>
                <c:formatCode>General</c:formatCode>
                <c:ptCount val="29"/>
                <c:pt idx="0">
                  <c:v>106</c:v>
                </c:pt>
                <c:pt idx="1">
                  <c:v>107.6</c:v>
                </c:pt>
                <c:pt idx="4">
                  <c:v>110.96</c:v>
                </c:pt>
                <c:pt idx="6">
                  <c:v>113.23</c:v>
                </c:pt>
                <c:pt idx="12">
                  <c:v>115.96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6E49-45B5-A05C-3C9B77F2E0BA}"/>
            </c:ext>
          </c:extLst>
        </c:ser>
        <c:ser>
          <c:idx val="86"/>
          <c:order val="85"/>
          <c:tx>
            <c:strRef>
              <c:f>'prueba grace y pozos'!$CM$2</c:f>
              <c:strCache>
                <c:ptCount val="1"/>
                <c:pt idx="0">
                  <c:v>LO114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pozos'!$CM$3:$CM$31</c:f>
              <c:numCache>
                <c:formatCode>General</c:formatCode>
                <c:ptCount val="29"/>
                <c:pt idx="1">
                  <c:v>49.47</c:v>
                </c:pt>
                <c:pt idx="4">
                  <c:v>56.18</c:v>
                </c:pt>
                <c:pt idx="6">
                  <c:v>36.03</c:v>
                </c:pt>
                <c:pt idx="12">
                  <c:v>40.549999999999997</c:v>
                </c:pt>
                <c:pt idx="17">
                  <c:v>38.119999999999997</c:v>
                </c:pt>
                <c:pt idx="26">
                  <c:v>41</c:v>
                </c:pt>
                <c:pt idx="27">
                  <c:v>44.86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6E49-45B5-A05C-3C9B77F2E0BA}"/>
            </c:ext>
          </c:extLst>
        </c:ser>
        <c:ser>
          <c:idx val="87"/>
          <c:order val="86"/>
          <c:tx>
            <c:strRef>
              <c:f>'prueba grace y pozos'!$CN$2</c:f>
              <c:strCache>
                <c:ptCount val="1"/>
                <c:pt idx="0">
                  <c:v>LO115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pozos'!$CN$3:$CN$31</c:f>
              <c:numCache>
                <c:formatCode>General</c:formatCode>
                <c:ptCount val="29"/>
                <c:pt idx="0">
                  <c:v>12.07</c:v>
                </c:pt>
                <c:pt idx="6">
                  <c:v>13.07</c:v>
                </c:pt>
                <c:pt idx="12">
                  <c:v>14.44</c:v>
                </c:pt>
                <c:pt idx="17">
                  <c:v>13.7</c:v>
                </c:pt>
                <c:pt idx="2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6E49-45B5-A05C-3C9B77F2E0BA}"/>
            </c:ext>
          </c:extLst>
        </c:ser>
        <c:ser>
          <c:idx val="88"/>
          <c:order val="87"/>
          <c:tx>
            <c:strRef>
              <c:f>'prueba grace y pozos'!$CO$2</c:f>
              <c:strCache>
                <c:ptCount val="1"/>
                <c:pt idx="0">
                  <c:v>LO116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pozos'!$CO$3:$CO$31</c:f>
              <c:numCache>
                <c:formatCode>General</c:formatCode>
                <c:ptCount val="29"/>
                <c:pt idx="0">
                  <c:v>106.9</c:v>
                </c:pt>
                <c:pt idx="1">
                  <c:v>107.7</c:v>
                </c:pt>
                <c:pt idx="4">
                  <c:v>110.43</c:v>
                </c:pt>
                <c:pt idx="6">
                  <c:v>112.73</c:v>
                </c:pt>
                <c:pt idx="12">
                  <c:v>116.42</c:v>
                </c:pt>
                <c:pt idx="17">
                  <c:v>116.5</c:v>
                </c:pt>
                <c:pt idx="26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6E49-45B5-A05C-3C9B77F2E0BA}"/>
            </c:ext>
          </c:extLst>
        </c:ser>
        <c:ser>
          <c:idx val="89"/>
          <c:order val="88"/>
          <c:tx>
            <c:strRef>
              <c:f>'prueba grace y pozos'!$CP$2</c:f>
              <c:strCache>
                <c:ptCount val="1"/>
                <c:pt idx="0">
                  <c:v>LO117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pozos'!$CP$3:$CP$31</c:f>
              <c:numCache>
                <c:formatCode>General</c:formatCode>
                <c:ptCount val="29"/>
                <c:pt idx="0">
                  <c:v>49.5</c:v>
                </c:pt>
                <c:pt idx="1">
                  <c:v>54</c:v>
                </c:pt>
                <c:pt idx="4">
                  <c:v>56.37</c:v>
                </c:pt>
                <c:pt idx="6">
                  <c:v>56.73</c:v>
                </c:pt>
                <c:pt idx="12">
                  <c:v>57.65</c:v>
                </c:pt>
                <c:pt idx="17">
                  <c:v>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6E49-45B5-A05C-3C9B77F2E0BA}"/>
            </c:ext>
          </c:extLst>
        </c:ser>
        <c:ser>
          <c:idx val="90"/>
          <c:order val="89"/>
          <c:tx>
            <c:strRef>
              <c:f>'prueba grace y pozos'!$CQ$2</c:f>
              <c:strCache>
                <c:ptCount val="1"/>
                <c:pt idx="0">
                  <c:v>LO118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pozos'!$CQ$3:$CQ$31</c:f>
              <c:numCache>
                <c:formatCode>General</c:formatCode>
                <c:ptCount val="29"/>
                <c:pt idx="1">
                  <c:v>29.2</c:v>
                </c:pt>
                <c:pt idx="4">
                  <c:v>30.07</c:v>
                </c:pt>
                <c:pt idx="6">
                  <c:v>30.13</c:v>
                </c:pt>
                <c:pt idx="12">
                  <c:v>30.99</c:v>
                </c:pt>
                <c:pt idx="17">
                  <c:v>30.47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6E49-45B5-A05C-3C9B77F2E0BA}"/>
            </c:ext>
          </c:extLst>
        </c:ser>
        <c:ser>
          <c:idx val="91"/>
          <c:order val="90"/>
          <c:tx>
            <c:strRef>
              <c:f>'prueba grace y pozos'!$CR$2</c:f>
              <c:strCache>
                <c:ptCount val="1"/>
                <c:pt idx="0">
                  <c:v>LO119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pozos'!$CR$3:$CR$31</c:f>
              <c:numCache>
                <c:formatCode>General</c:formatCode>
                <c:ptCount val="29"/>
                <c:pt idx="0">
                  <c:v>75</c:v>
                </c:pt>
                <c:pt idx="1">
                  <c:v>75.239999999999995</c:v>
                </c:pt>
                <c:pt idx="4">
                  <c:v>75.5</c:v>
                </c:pt>
                <c:pt idx="6">
                  <c:v>76.13</c:v>
                </c:pt>
                <c:pt idx="12">
                  <c:v>77.78</c:v>
                </c:pt>
                <c:pt idx="17">
                  <c:v>79.12</c:v>
                </c:pt>
                <c:pt idx="2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6E49-45B5-A05C-3C9B77F2E0BA}"/>
            </c:ext>
          </c:extLst>
        </c:ser>
        <c:ser>
          <c:idx val="92"/>
          <c:order val="91"/>
          <c:tx>
            <c:strRef>
              <c:f>'prueba grace y pozos'!$CS$2</c:f>
              <c:strCache>
                <c:ptCount val="1"/>
                <c:pt idx="0">
                  <c:v>LO120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pozos'!$CS$3:$CS$31</c:f>
              <c:numCache>
                <c:formatCode>General</c:formatCode>
                <c:ptCount val="29"/>
                <c:pt idx="1">
                  <c:v>11.38</c:v>
                </c:pt>
                <c:pt idx="4">
                  <c:v>11.83</c:v>
                </c:pt>
                <c:pt idx="6">
                  <c:v>12.19</c:v>
                </c:pt>
                <c:pt idx="12">
                  <c:v>13.17</c:v>
                </c:pt>
                <c:pt idx="17">
                  <c:v>13.76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6E49-45B5-A05C-3C9B77F2E0BA}"/>
            </c:ext>
          </c:extLst>
        </c:ser>
        <c:ser>
          <c:idx val="93"/>
          <c:order val="92"/>
          <c:tx>
            <c:strRef>
              <c:f>'prueba grace y pozos'!$CT$2</c:f>
              <c:strCache>
                <c:ptCount val="1"/>
                <c:pt idx="0">
                  <c:v>LO121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pozos'!$CT$3:$CT$31</c:f>
              <c:numCache>
                <c:formatCode>General</c:formatCode>
                <c:ptCount val="29"/>
                <c:pt idx="0">
                  <c:v>28.2</c:v>
                </c:pt>
                <c:pt idx="1">
                  <c:v>28.7</c:v>
                </c:pt>
                <c:pt idx="4">
                  <c:v>29</c:v>
                </c:pt>
                <c:pt idx="6">
                  <c:v>30.55</c:v>
                </c:pt>
                <c:pt idx="12">
                  <c:v>32.22</c:v>
                </c:pt>
                <c:pt idx="17">
                  <c:v>37.5</c:v>
                </c:pt>
                <c:pt idx="27">
                  <c:v>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6E49-45B5-A05C-3C9B77F2E0BA}"/>
            </c:ext>
          </c:extLst>
        </c:ser>
        <c:ser>
          <c:idx val="94"/>
          <c:order val="93"/>
          <c:tx>
            <c:strRef>
              <c:f>'prueba grace y pozos'!$CU$2</c:f>
              <c:strCache>
                <c:ptCount val="1"/>
                <c:pt idx="0">
                  <c:v>LO122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pozos'!$CU$3:$CU$31</c:f>
              <c:numCache>
                <c:formatCode>General</c:formatCode>
                <c:ptCount val="29"/>
                <c:pt idx="1">
                  <c:v>77.819999999999993</c:v>
                </c:pt>
                <c:pt idx="4">
                  <c:v>78.8</c:v>
                </c:pt>
                <c:pt idx="6">
                  <c:v>80.849999999999994</c:v>
                </c:pt>
                <c:pt idx="12">
                  <c:v>82.2</c:v>
                </c:pt>
                <c:pt idx="17">
                  <c:v>78.599999999999994</c:v>
                </c:pt>
                <c:pt idx="26">
                  <c:v>121.8</c:v>
                </c:pt>
                <c:pt idx="27">
                  <c:v>77.510000000000005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6E49-45B5-A05C-3C9B77F2E0BA}"/>
            </c:ext>
          </c:extLst>
        </c:ser>
        <c:ser>
          <c:idx val="95"/>
          <c:order val="94"/>
          <c:tx>
            <c:strRef>
              <c:f>'prueba grace y pozos'!$CV$2</c:f>
              <c:strCache>
                <c:ptCount val="1"/>
                <c:pt idx="0">
                  <c:v>LO123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pozos'!$CV$3:$CV$31</c:f>
              <c:numCache>
                <c:formatCode>General</c:formatCode>
                <c:ptCount val="29"/>
                <c:pt idx="1">
                  <c:v>146</c:v>
                </c:pt>
                <c:pt idx="4">
                  <c:v>146.66999999999999</c:v>
                </c:pt>
                <c:pt idx="6">
                  <c:v>148.72</c:v>
                </c:pt>
                <c:pt idx="12">
                  <c:v>153.03</c:v>
                </c:pt>
                <c:pt idx="17">
                  <c:v>153.15</c:v>
                </c:pt>
                <c:pt idx="26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6E49-45B5-A05C-3C9B77F2E0BA}"/>
            </c:ext>
          </c:extLst>
        </c:ser>
        <c:ser>
          <c:idx val="96"/>
          <c:order val="95"/>
          <c:tx>
            <c:strRef>
              <c:f>'prueba grace y pozos'!$CW$2</c:f>
              <c:strCache>
                <c:ptCount val="1"/>
                <c:pt idx="0">
                  <c:v>LO124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pozos'!$CW$3:$CW$31</c:f>
              <c:numCache>
                <c:formatCode>General</c:formatCode>
                <c:ptCount val="29"/>
                <c:pt idx="0">
                  <c:v>102</c:v>
                </c:pt>
                <c:pt idx="1">
                  <c:v>115.57</c:v>
                </c:pt>
                <c:pt idx="12">
                  <c:v>119.45</c:v>
                </c:pt>
                <c:pt idx="17">
                  <c:v>119.5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6E49-45B5-A05C-3C9B77F2E0BA}"/>
            </c:ext>
          </c:extLst>
        </c:ser>
        <c:ser>
          <c:idx val="97"/>
          <c:order val="96"/>
          <c:tx>
            <c:strRef>
              <c:f>'prueba grace y pozos'!$CX$2</c:f>
              <c:strCache>
                <c:ptCount val="1"/>
                <c:pt idx="0">
                  <c:v>LO124-A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pozos'!$CX$3:$CX$31</c:f>
              <c:numCache>
                <c:formatCode>General</c:formatCode>
                <c:ptCount val="29"/>
                <c:pt idx="27">
                  <c:v>22.3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6E49-45B5-A05C-3C9B77F2E0BA}"/>
            </c:ext>
          </c:extLst>
        </c:ser>
        <c:ser>
          <c:idx val="98"/>
          <c:order val="97"/>
          <c:tx>
            <c:strRef>
              <c:f>'prueba grace y pozos'!$CY$2</c:f>
              <c:strCache>
                <c:ptCount val="1"/>
                <c:pt idx="0">
                  <c:v>LO125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pozos'!$CY$3:$CY$31</c:f>
              <c:numCache>
                <c:formatCode>General</c:formatCode>
                <c:ptCount val="29"/>
                <c:pt idx="1">
                  <c:v>62.27</c:v>
                </c:pt>
                <c:pt idx="4">
                  <c:v>83.62</c:v>
                </c:pt>
                <c:pt idx="6">
                  <c:v>84.2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6E49-45B5-A05C-3C9B77F2E0BA}"/>
            </c:ext>
          </c:extLst>
        </c:ser>
        <c:ser>
          <c:idx val="99"/>
          <c:order val="98"/>
          <c:tx>
            <c:strRef>
              <c:f>'prueba grace y pozos'!$CZ$2</c:f>
              <c:strCache>
                <c:ptCount val="1"/>
                <c:pt idx="0">
                  <c:v>LO126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pozos'!$CZ$3:$CZ$31</c:f>
              <c:numCache>
                <c:formatCode>General</c:formatCode>
                <c:ptCount val="29"/>
                <c:pt idx="1">
                  <c:v>159</c:v>
                </c:pt>
                <c:pt idx="4">
                  <c:v>161.01</c:v>
                </c:pt>
                <c:pt idx="6">
                  <c:v>162.72999999999999</c:v>
                </c:pt>
                <c:pt idx="12">
                  <c:v>164.88</c:v>
                </c:pt>
                <c:pt idx="17">
                  <c:v>169.12</c:v>
                </c:pt>
                <c:pt idx="27">
                  <c:v>163.5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6E49-45B5-A05C-3C9B77F2E0BA}"/>
            </c:ext>
          </c:extLst>
        </c:ser>
        <c:ser>
          <c:idx val="100"/>
          <c:order val="99"/>
          <c:tx>
            <c:strRef>
              <c:f>'prueba grace y pozos'!$DA$2</c:f>
              <c:strCache>
                <c:ptCount val="1"/>
                <c:pt idx="0">
                  <c:v>LO127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pozos'!$DA$3:$DA$31</c:f>
              <c:numCache>
                <c:formatCode>General</c:formatCode>
                <c:ptCount val="29"/>
                <c:pt idx="0">
                  <c:v>111.2</c:v>
                </c:pt>
                <c:pt idx="4">
                  <c:v>110.7</c:v>
                </c:pt>
                <c:pt idx="6">
                  <c:v>94.88</c:v>
                </c:pt>
                <c:pt idx="12">
                  <c:v>99.5</c:v>
                </c:pt>
                <c:pt idx="17">
                  <c:v>110.05</c:v>
                </c:pt>
                <c:pt idx="27">
                  <c:v>124.8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6E49-45B5-A05C-3C9B77F2E0BA}"/>
            </c:ext>
          </c:extLst>
        </c:ser>
        <c:ser>
          <c:idx val="101"/>
          <c:order val="100"/>
          <c:tx>
            <c:strRef>
              <c:f>'prueba grace y pozos'!$DB$2</c:f>
              <c:strCache>
                <c:ptCount val="1"/>
                <c:pt idx="0">
                  <c:v>LO128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pozos'!$DB$3:$DB$31</c:f>
              <c:numCache>
                <c:formatCode>General</c:formatCode>
                <c:ptCount val="29"/>
                <c:pt idx="0">
                  <c:v>130</c:v>
                </c:pt>
                <c:pt idx="6">
                  <c:v>143.02000000000001</c:v>
                </c:pt>
                <c:pt idx="12">
                  <c:v>146.54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6E49-45B5-A05C-3C9B77F2E0BA}"/>
            </c:ext>
          </c:extLst>
        </c:ser>
        <c:ser>
          <c:idx val="102"/>
          <c:order val="101"/>
          <c:tx>
            <c:strRef>
              <c:f>'prueba grace y pozos'!$DC$2</c:f>
              <c:strCache>
                <c:ptCount val="1"/>
                <c:pt idx="0">
                  <c:v>LO131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pozos'!$DC$3:$DC$31</c:f>
              <c:numCache>
                <c:formatCode>General</c:formatCode>
                <c:ptCount val="29"/>
                <c:pt idx="0">
                  <c:v>42.34</c:v>
                </c:pt>
                <c:pt idx="6">
                  <c:v>43.15</c:v>
                </c:pt>
                <c:pt idx="12">
                  <c:v>45.3</c:v>
                </c:pt>
                <c:pt idx="1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6E49-45B5-A05C-3C9B77F2E0BA}"/>
            </c:ext>
          </c:extLst>
        </c:ser>
        <c:ser>
          <c:idx val="103"/>
          <c:order val="102"/>
          <c:tx>
            <c:strRef>
              <c:f>'prueba grace y pozos'!$DD$2</c:f>
              <c:strCache>
                <c:ptCount val="1"/>
                <c:pt idx="0">
                  <c:v>LO132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pozos'!$DD$3:$DD$31</c:f>
              <c:numCache>
                <c:formatCode>General</c:formatCode>
                <c:ptCount val="29"/>
                <c:pt idx="0">
                  <c:v>22</c:v>
                </c:pt>
                <c:pt idx="6">
                  <c:v>27.07</c:v>
                </c:pt>
                <c:pt idx="12">
                  <c:v>29.06</c:v>
                </c:pt>
                <c:pt idx="17">
                  <c:v>34.81</c:v>
                </c:pt>
                <c:pt idx="26">
                  <c:v>34.26</c:v>
                </c:pt>
                <c:pt idx="27">
                  <c:v>33.94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6E49-45B5-A05C-3C9B77F2E0BA}"/>
            </c:ext>
          </c:extLst>
        </c:ser>
        <c:ser>
          <c:idx val="104"/>
          <c:order val="103"/>
          <c:tx>
            <c:strRef>
              <c:f>'prueba grace y pozos'!$DE$2</c:f>
              <c:strCache>
                <c:ptCount val="1"/>
                <c:pt idx="0">
                  <c:v>LO134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pozos'!$DE$3:$DE$31</c:f>
              <c:numCache>
                <c:formatCode>General</c:formatCode>
                <c:ptCount val="29"/>
                <c:pt idx="0">
                  <c:v>55.53</c:v>
                </c:pt>
                <c:pt idx="6">
                  <c:v>56.42</c:v>
                </c:pt>
                <c:pt idx="12">
                  <c:v>57.9</c:v>
                </c:pt>
                <c:pt idx="17">
                  <c:v>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6E49-45B5-A05C-3C9B77F2E0BA}"/>
            </c:ext>
          </c:extLst>
        </c:ser>
        <c:ser>
          <c:idx val="105"/>
          <c:order val="104"/>
          <c:tx>
            <c:strRef>
              <c:f>'prueba grace y pozos'!$DF$2</c:f>
              <c:strCache>
                <c:ptCount val="1"/>
                <c:pt idx="0">
                  <c:v>LO134B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pozos'!$DF$3:$DF$31</c:f>
              <c:numCache>
                <c:formatCode>General</c:formatCode>
                <c:ptCount val="29"/>
                <c:pt idx="2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6E49-45B5-A05C-3C9B77F2E0BA}"/>
            </c:ext>
          </c:extLst>
        </c:ser>
        <c:ser>
          <c:idx val="106"/>
          <c:order val="105"/>
          <c:tx>
            <c:strRef>
              <c:f>'prueba grace y pozos'!$DG$2</c:f>
              <c:strCache>
                <c:ptCount val="1"/>
                <c:pt idx="0">
                  <c:v>LO135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pozos'!$DG$3:$DG$31</c:f>
              <c:numCache>
                <c:formatCode>General</c:formatCode>
                <c:ptCount val="29"/>
                <c:pt idx="0">
                  <c:v>90</c:v>
                </c:pt>
                <c:pt idx="6">
                  <c:v>81.55</c:v>
                </c:pt>
                <c:pt idx="27">
                  <c:v>86.43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6E49-45B5-A05C-3C9B77F2E0BA}"/>
            </c:ext>
          </c:extLst>
        </c:ser>
        <c:ser>
          <c:idx val="107"/>
          <c:order val="106"/>
          <c:tx>
            <c:strRef>
              <c:f>'prueba grace y pozos'!$DH$2</c:f>
              <c:strCache>
                <c:ptCount val="1"/>
                <c:pt idx="0">
                  <c:v>LO153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pozos'!$DH$3:$DH$31</c:f>
              <c:numCache>
                <c:formatCode>General</c:formatCode>
                <c:ptCount val="29"/>
                <c:pt idx="27">
                  <c:v>50.68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6E49-45B5-A05C-3C9B77F2E0BA}"/>
            </c:ext>
          </c:extLst>
        </c:ser>
        <c:ser>
          <c:idx val="108"/>
          <c:order val="107"/>
          <c:tx>
            <c:strRef>
              <c:f>'prueba grace y pozos'!$DI$2</c:f>
              <c:strCache>
                <c:ptCount val="1"/>
                <c:pt idx="0">
                  <c:v>LO153A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pozos'!$DI$3:$DI$31</c:f>
              <c:numCache>
                <c:formatCode>General</c:formatCode>
                <c:ptCount val="29"/>
                <c:pt idx="26">
                  <c:v>36.270000000000003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6E49-45B5-A05C-3C9B77F2E0BA}"/>
            </c:ext>
          </c:extLst>
        </c:ser>
        <c:ser>
          <c:idx val="109"/>
          <c:order val="108"/>
          <c:tx>
            <c:strRef>
              <c:f>'prueba grace y pozos'!$DJ$2</c:f>
              <c:strCache>
                <c:ptCount val="1"/>
                <c:pt idx="0">
                  <c:v>LO153B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pozos'!$DJ$3:$DJ$31</c:f>
              <c:numCache>
                <c:formatCode>General</c:formatCode>
                <c:ptCount val="29"/>
                <c:pt idx="26">
                  <c:v>33.11</c:v>
                </c:pt>
                <c:pt idx="27">
                  <c:v>30.1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6E49-45B5-A05C-3C9B77F2E0BA}"/>
            </c:ext>
          </c:extLst>
        </c:ser>
        <c:ser>
          <c:idx val="110"/>
          <c:order val="109"/>
          <c:tx>
            <c:strRef>
              <c:f>'prueba grace y pozos'!$DK$2</c:f>
              <c:strCache>
                <c:ptCount val="1"/>
                <c:pt idx="0">
                  <c:v>LO153C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pozos'!$DK$3:$DK$31</c:f>
              <c:numCache>
                <c:formatCode>General</c:formatCode>
                <c:ptCount val="29"/>
                <c:pt idx="27">
                  <c:v>21.01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6E49-45B5-A05C-3C9B77F2E0BA}"/>
            </c:ext>
          </c:extLst>
        </c:ser>
        <c:ser>
          <c:idx val="111"/>
          <c:order val="110"/>
          <c:tx>
            <c:strRef>
              <c:f>'prueba grace y pozos'!$DL$2</c:f>
              <c:strCache>
                <c:ptCount val="1"/>
                <c:pt idx="0">
                  <c:v>LO159A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pozos'!$DL$3:$DL$31</c:f>
              <c:numCache>
                <c:formatCode>General</c:formatCode>
                <c:ptCount val="29"/>
                <c:pt idx="26">
                  <c:v>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6E49-45B5-A05C-3C9B77F2E0BA}"/>
            </c:ext>
          </c:extLst>
        </c:ser>
        <c:ser>
          <c:idx val="112"/>
          <c:order val="111"/>
          <c:tx>
            <c:strRef>
              <c:f>'prueba grace y pozos'!$DM$2</c:f>
              <c:strCache>
                <c:ptCount val="1"/>
                <c:pt idx="0">
                  <c:v>LO171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pozos'!$DM$3:$DM$31</c:f>
              <c:numCache>
                <c:formatCode>General</c:formatCode>
                <c:ptCount val="29"/>
                <c:pt idx="0">
                  <c:v>37.299999999999997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6E49-45B5-A05C-3C9B77F2E0BA}"/>
            </c:ext>
          </c:extLst>
        </c:ser>
        <c:ser>
          <c:idx val="113"/>
          <c:order val="112"/>
          <c:tx>
            <c:strRef>
              <c:f>'prueba grace y pozos'!$DN$2</c:f>
              <c:strCache>
                <c:ptCount val="1"/>
                <c:pt idx="0">
                  <c:v>LO171C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pozos'!$DN$3:$DN$31</c:f>
              <c:numCache>
                <c:formatCode>General</c:formatCode>
                <c:ptCount val="29"/>
                <c:pt idx="26">
                  <c:v>45.34</c:v>
                </c:pt>
                <c:pt idx="27">
                  <c:v>40.98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6E49-45B5-A05C-3C9B77F2E0BA}"/>
            </c:ext>
          </c:extLst>
        </c:ser>
        <c:ser>
          <c:idx val="114"/>
          <c:order val="113"/>
          <c:tx>
            <c:strRef>
              <c:f>'prueba grace y pozos'!$DO$2</c:f>
              <c:strCache>
                <c:ptCount val="1"/>
                <c:pt idx="0">
                  <c:v>LO172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pozos'!$DO$3:$DO$31</c:f>
              <c:numCache>
                <c:formatCode>General</c:formatCode>
                <c:ptCount val="29"/>
                <c:pt idx="0">
                  <c:v>25</c:v>
                </c:pt>
                <c:pt idx="26">
                  <c:v>36.56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6E49-45B5-A05C-3C9B77F2E0BA}"/>
            </c:ext>
          </c:extLst>
        </c:ser>
        <c:ser>
          <c:idx val="115"/>
          <c:order val="114"/>
          <c:tx>
            <c:strRef>
              <c:f>'prueba grace y pozos'!$DP$2</c:f>
              <c:strCache>
                <c:ptCount val="1"/>
                <c:pt idx="0">
                  <c:v>LO173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pozos'!$DP$3:$DP$31</c:f>
              <c:numCache>
                <c:formatCode>General</c:formatCode>
                <c:ptCount val="29"/>
                <c:pt idx="0">
                  <c:v>45</c:v>
                </c:pt>
                <c:pt idx="27">
                  <c:v>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6E49-45B5-A05C-3C9B77F2E0BA}"/>
            </c:ext>
          </c:extLst>
        </c:ser>
        <c:ser>
          <c:idx val="116"/>
          <c:order val="115"/>
          <c:tx>
            <c:strRef>
              <c:f>'prueba grace y pozos'!$DQ$2</c:f>
              <c:strCache>
                <c:ptCount val="1"/>
                <c:pt idx="0">
                  <c:v>LO174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pozos'!$DQ$3:$DQ$31</c:f>
              <c:numCache>
                <c:formatCode>General</c:formatCode>
                <c:ptCount val="29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6E49-45B5-A05C-3C9B77F2E0BA}"/>
            </c:ext>
          </c:extLst>
        </c:ser>
        <c:ser>
          <c:idx val="117"/>
          <c:order val="116"/>
          <c:tx>
            <c:strRef>
              <c:f>'prueba grace y pozos'!$DR$2</c:f>
              <c:strCache>
                <c:ptCount val="1"/>
                <c:pt idx="0">
                  <c:v>LO175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'prueba grace y pozos'!$E$3:$E$31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'prueba grace y pozos'!$DR$3:$DR$31</c:f>
              <c:numCache>
                <c:formatCode>General</c:formatCode>
                <c:ptCount val="29"/>
                <c:pt idx="0">
                  <c:v>43.3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6E49-45B5-A05C-3C9B77F2E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95"/>
        <c:axId val="1345080751"/>
        <c:axId val="1350947935"/>
      </c:barChart>
      <c:lineChart>
        <c:grouping val="standard"/>
        <c:varyColors val="0"/>
        <c:ser>
          <c:idx val="118"/>
          <c:order val="117"/>
          <c:tx>
            <c:strRef>
              <c:f>'prueba grace y pozos'!$DS$2</c:f>
              <c:strCache>
                <c:ptCount val="1"/>
                <c:pt idx="0">
                  <c:v>Promedio Anual GRACE</c:v>
                </c:pt>
              </c:strCache>
            </c:strRef>
          </c:tx>
          <c:spPr>
            <a:ln w="114300" cap="rnd" cmpd="sng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'prueba grace y pozos'!$DS$3:$DS$31</c:f>
              <c:numCache>
                <c:formatCode>General</c:formatCode>
                <c:ptCount val="29"/>
                <c:pt idx="6">
                  <c:v>4.9150271387969156</c:v>
                </c:pt>
                <c:pt idx="7">
                  <c:v>4.3565168942102988</c:v>
                </c:pt>
                <c:pt idx="8">
                  <c:v>4.0387013628723034</c:v>
                </c:pt>
                <c:pt idx="9">
                  <c:v>-1.0424588206676795</c:v>
                </c:pt>
                <c:pt idx="10">
                  <c:v>-1.028897738236175</c:v>
                </c:pt>
                <c:pt idx="11">
                  <c:v>0.44848390901786001</c:v>
                </c:pt>
                <c:pt idx="12">
                  <c:v>0.71160959880541597</c:v>
                </c:pt>
                <c:pt idx="13">
                  <c:v>-3.1274383117916855</c:v>
                </c:pt>
                <c:pt idx="14">
                  <c:v>5.2702430677438477</c:v>
                </c:pt>
                <c:pt idx="15">
                  <c:v>4.8686287494589475</c:v>
                </c:pt>
                <c:pt idx="16">
                  <c:v>1.4136868359762391</c:v>
                </c:pt>
                <c:pt idx="17">
                  <c:v>-1.8343609004999404</c:v>
                </c:pt>
                <c:pt idx="18">
                  <c:v>3.6344784149906491</c:v>
                </c:pt>
                <c:pt idx="19">
                  <c:v>-2.7122263202294925</c:v>
                </c:pt>
                <c:pt idx="20">
                  <c:v>-6.7756130159428096</c:v>
                </c:pt>
                <c:pt idx="21">
                  <c:v>-15.748095779886009</c:v>
                </c:pt>
                <c:pt idx="22">
                  <c:v>1.4234391186884203</c:v>
                </c:pt>
                <c:pt idx="23">
                  <c:v>-10.848649765987302</c:v>
                </c:pt>
                <c:pt idx="24">
                  <c:v>-13.503811046671879</c:v>
                </c:pt>
                <c:pt idx="25">
                  <c:v>-12.782798656899482</c:v>
                </c:pt>
                <c:pt idx="26">
                  <c:v>-10.979056520044734</c:v>
                </c:pt>
                <c:pt idx="27">
                  <c:v>-24.148673834702759</c:v>
                </c:pt>
                <c:pt idx="28">
                  <c:v>-21.867561515068147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6E49-45B5-A05C-3C9B77F2E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0072655"/>
        <c:axId val="1336167647"/>
      </c:lineChart>
      <c:catAx>
        <c:axId val="1345080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947935"/>
        <c:crosses val="autoZero"/>
        <c:auto val="1"/>
        <c:lblAlgn val="ctr"/>
        <c:lblOffset val="100"/>
        <c:noMultiLvlLbl val="0"/>
      </c:catAx>
      <c:valAx>
        <c:axId val="135094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Nivel</a:t>
                </a:r>
                <a:r>
                  <a:rPr lang="es-MX" baseline="0"/>
                  <a:t> Piezométrico (m)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45080751"/>
        <c:crosses val="autoZero"/>
        <c:crossBetween val="between"/>
      </c:valAx>
      <c:valAx>
        <c:axId val="1336167647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GRACE(mm)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70072655"/>
        <c:crosses val="max"/>
        <c:crossBetween val="between"/>
      </c:valAx>
      <c:catAx>
        <c:axId val="1370072655"/>
        <c:scaling>
          <c:orientation val="minMax"/>
        </c:scaling>
        <c:delete val="1"/>
        <c:axPos val="b"/>
        <c:majorTickMark val="out"/>
        <c:minorTickMark val="none"/>
        <c:tickLblPos val="nextTo"/>
        <c:crossAx val="1336167647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5063139518578782E-2"/>
          <c:y val="0.65518037731014578"/>
          <c:w val="0.85849816811137414"/>
          <c:h val="0.316362383403318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4500"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GRACE</a:t>
            </a:r>
            <a:r>
              <a:rPr lang="es-MX" baseline="0"/>
              <a:t> vs piezometria libres oriental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'mediana promedios'!$W$51</c:f>
              <c:strCache>
                <c:ptCount val="1"/>
                <c:pt idx="0">
                  <c:v>Z-Score Pozos (Columnas)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'mediana promedios'!$V$52:$V$56</c:f>
              <c:numCache>
                <c:formatCode>General</c:formatCode>
                <c:ptCount val="5"/>
                <c:pt idx="0">
                  <c:v>2002</c:v>
                </c:pt>
                <c:pt idx="1">
                  <c:v>2008</c:v>
                </c:pt>
                <c:pt idx="2">
                  <c:v>2013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'mediana promedios'!$W$52:$W$56</c:f>
              <c:numCache>
                <c:formatCode>General</c:formatCode>
                <c:ptCount val="5"/>
                <c:pt idx="0">
                  <c:v>0.32</c:v>
                </c:pt>
                <c:pt idx="1">
                  <c:v>0.76</c:v>
                </c:pt>
                <c:pt idx="2">
                  <c:v>0.27</c:v>
                </c:pt>
                <c:pt idx="3">
                  <c:v>-1.75</c:v>
                </c:pt>
                <c:pt idx="4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E-A241-9858-240FE4B01C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92495808"/>
        <c:axId val="1292499840"/>
      </c:barChart>
      <c:lineChart>
        <c:grouping val="standard"/>
        <c:varyColors val="0"/>
        <c:ser>
          <c:idx val="1"/>
          <c:order val="1"/>
          <c:tx>
            <c:strRef>
              <c:f>'mediana promedios'!$X$51</c:f>
              <c:strCache>
                <c:ptCount val="1"/>
                <c:pt idx="0">
                  <c:v>Z-Score GRACE (Línea)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'mediana promedios'!$V$52:$V$56</c:f>
              <c:numCache>
                <c:formatCode>General</c:formatCode>
                <c:ptCount val="5"/>
                <c:pt idx="0">
                  <c:v>2002</c:v>
                </c:pt>
                <c:pt idx="1">
                  <c:v>2008</c:v>
                </c:pt>
                <c:pt idx="2">
                  <c:v>2013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'mediana promedios'!$X$52:$X$56</c:f>
              <c:numCache>
                <c:formatCode>General</c:formatCode>
                <c:ptCount val="5"/>
                <c:pt idx="0">
                  <c:v>0.97</c:v>
                </c:pt>
                <c:pt idx="1">
                  <c:v>0.6</c:v>
                </c:pt>
                <c:pt idx="2">
                  <c:v>0.38</c:v>
                </c:pt>
                <c:pt idx="3">
                  <c:v>-0.41</c:v>
                </c:pt>
                <c:pt idx="4">
                  <c:v>-1.55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BE-A241-9858-240FE4B01C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92495808"/>
        <c:axId val="1292499840"/>
      </c:lineChart>
      <c:catAx>
        <c:axId val="1292495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92499840"/>
        <c:crossesAt val="-2"/>
        <c:auto val="1"/>
        <c:lblAlgn val="ctr"/>
        <c:lblOffset val="100"/>
        <c:noMultiLvlLbl val="0"/>
      </c:catAx>
      <c:valAx>
        <c:axId val="12924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92495808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683941</xdr:colOff>
      <xdr:row>81</xdr:row>
      <xdr:rowOff>0</xdr:rowOff>
    </xdr:from>
    <xdr:to>
      <xdr:col>67</xdr:col>
      <xdr:colOff>325243</xdr:colOff>
      <xdr:row>141</xdr:row>
      <xdr:rowOff>30975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F7656B-CA0B-98A2-DC03-701C7CF7F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349250</xdr:colOff>
      <xdr:row>190</xdr:row>
      <xdr:rowOff>101600</xdr:rowOff>
    </xdr:from>
    <xdr:to>
      <xdr:col>31</xdr:col>
      <xdr:colOff>203200</xdr:colOff>
      <xdr:row>231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A17806-563E-0DC2-0354-47F8802D8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88900</xdr:colOff>
      <xdr:row>20</xdr:row>
      <xdr:rowOff>0</xdr:rowOff>
    </xdr:from>
    <xdr:to>
      <xdr:col>82</xdr:col>
      <xdr:colOff>0</xdr:colOff>
      <xdr:row>137</xdr:row>
      <xdr:rowOff>127000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C578FE1-E401-3E6A-24AF-0A7491F04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101600</xdr:colOff>
      <xdr:row>169</xdr:row>
      <xdr:rowOff>0</xdr:rowOff>
    </xdr:from>
    <xdr:to>
      <xdr:col>87</xdr:col>
      <xdr:colOff>406400</xdr:colOff>
      <xdr:row>243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663631D-188B-4141-87CC-167788C06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430893</xdr:colOff>
      <xdr:row>65</xdr:row>
      <xdr:rowOff>0</xdr:rowOff>
    </xdr:from>
    <xdr:to>
      <xdr:col>58</xdr:col>
      <xdr:colOff>164193</xdr:colOff>
      <xdr:row>139</xdr:row>
      <xdr:rowOff>17236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B649DBA-A5A3-C646-BAFA-423CB7DD2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124939</xdr:colOff>
      <xdr:row>158</xdr:row>
      <xdr:rowOff>125186</xdr:rowOff>
    </xdr:from>
    <xdr:to>
      <xdr:col>109</xdr:col>
      <xdr:colOff>510886</xdr:colOff>
      <xdr:row>262</xdr:row>
      <xdr:rowOff>164522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84B7E8-0BF6-8164-3E12-E431FB8D2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63</xdr:col>
      <xdr:colOff>27680</xdr:colOff>
      <xdr:row>70</xdr:row>
      <xdr:rowOff>165911</xdr:rowOff>
    </xdr:from>
    <xdr:to>
      <xdr:col>77</xdr:col>
      <xdr:colOff>575454</xdr:colOff>
      <xdr:row>100</xdr:row>
      <xdr:rowOff>92342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1CC88C5-A0C7-51F5-FB48-CAA0DE892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132578</xdr:colOff>
      <xdr:row>265</xdr:row>
      <xdr:rowOff>164715</xdr:rowOff>
    </xdr:from>
    <xdr:to>
      <xdr:col>100</xdr:col>
      <xdr:colOff>618067</xdr:colOff>
      <xdr:row>416</xdr:row>
      <xdr:rowOff>194733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D618311-15A6-55C8-EB48-739414ABB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0.05421</cdr:x>
      <cdr:y>0.65165</cdr:y>
    </cdr:from>
    <cdr:to>
      <cdr:x>0.09667</cdr:x>
      <cdr:y>0.71112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3EEB40E5-B2CC-BA24-1436-92AD6106833F}"/>
            </a:ext>
          </a:extLst>
        </cdr:cNvPr>
        <cdr:cNvSpPr txBox="1"/>
      </cdr:nvSpPr>
      <cdr:spPr>
        <a:xfrm xmlns:a="http://schemas.openxmlformats.org/drawingml/2006/main">
          <a:off x="3296422" y="20874949"/>
          <a:ext cx="2582333" cy="19050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4500" kern="1200"/>
            <a:t>Leyenda   </a:t>
          </a:r>
        </a:p>
        <a:p xmlns:a="http://schemas.openxmlformats.org/drawingml/2006/main">
          <a:r>
            <a:rPr lang="es-MX" sz="4500" kern="1200"/>
            <a:t>Pozos:</a:t>
          </a:r>
          <a:endParaRPr lang="es-MX" sz="4000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552450</xdr:colOff>
      <xdr:row>56</xdr:row>
      <xdr:rowOff>158750</xdr:rowOff>
    </xdr:from>
    <xdr:to>
      <xdr:col>25</xdr:col>
      <xdr:colOff>533400</xdr:colOff>
      <xdr:row>86</xdr:row>
      <xdr:rowOff>12700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4234C6-0E71-7D6A-53A3-461F08E7E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22"/>
  <sheetViews>
    <sheetView zoomScale="86" zoomScaleNormal="25" workbookViewId="0">
      <selection activeCell="W30" sqref="W30"/>
    </sheetView>
  </sheetViews>
  <sheetFormatPr baseColWidth="10" defaultColWidth="9.1640625"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1996</v>
      </c>
      <c r="H1" s="1">
        <v>1997</v>
      </c>
      <c r="I1" s="1">
        <v>1998</v>
      </c>
      <c r="J1" s="1">
        <v>1999</v>
      </c>
      <c r="K1" s="1">
        <v>2000</v>
      </c>
      <c r="L1" s="1">
        <v>2001</v>
      </c>
      <c r="M1" s="1">
        <v>2002</v>
      </c>
      <c r="N1" s="1">
        <v>2003</v>
      </c>
      <c r="O1" s="1">
        <v>2004</v>
      </c>
      <c r="P1" s="1">
        <v>2005</v>
      </c>
      <c r="Q1" s="1">
        <v>2006</v>
      </c>
      <c r="R1" s="1">
        <v>2007</v>
      </c>
      <c r="S1" s="1">
        <v>2008</v>
      </c>
      <c r="T1" s="1">
        <v>2009</v>
      </c>
      <c r="U1" s="1">
        <v>2010</v>
      </c>
      <c r="V1" s="1">
        <v>2011</v>
      </c>
      <c r="W1" s="1">
        <v>2012</v>
      </c>
      <c r="X1" s="1">
        <v>2013</v>
      </c>
      <c r="Y1" s="1">
        <v>2014</v>
      </c>
      <c r="Z1" s="1">
        <v>2015</v>
      </c>
      <c r="AA1" s="1">
        <v>2016</v>
      </c>
      <c r="AB1" s="1">
        <v>2017</v>
      </c>
      <c r="AC1" s="1">
        <v>2018</v>
      </c>
      <c r="AD1" s="1">
        <v>2019</v>
      </c>
      <c r="AE1" s="1">
        <v>2020</v>
      </c>
      <c r="AF1" s="1">
        <v>2021</v>
      </c>
      <c r="AG1" s="1">
        <v>2022</v>
      </c>
      <c r="AH1" s="1">
        <v>2023</v>
      </c>
      <c r="AI1" s="1">
        <v>2024</v>
      </c>
      <c r="AJ1" s="1">
        <v>2025</v>
      </c>
      <c r="AK1" s="1">
        <v>2026</v>
      </c>
    </row>
    <row r="2" spans="1:37">
      <c r="A2">
        <v>102</v>
      </c>
      <c r="B2" t="s">
        <v>6</v>
      </c>
      <c r="C2" t="s">
        <v>7</v>
      </c>
      <c r="D2">
        <v>1724</v>
      </c>
      <c r="E2">
        <v>18.831111</v>
      </c>
      <c r="F2">
        <v>-98.458055999999999</v>
      </c>
      <c r="G2">
        <v>20.55</v>
      </c>
      <c r="H2">
        <v>21.22</v>
      </c>
      <c r="N2">
        <v>21.82</v>
      </c>
      <c r="AA2">
        <v>23.2</v>
      </c>
      <c r="AB2">
        <v>21.8</v>
      </c>
      <c r="AC2">
        <v>23.15</v>
      </c>
    </row>
    <row r="3" spans="1:37">
      <c r="A3">
        <v>127</v>
      </c>
      <c r="B3" t="s">
        <v>6</v>
      </c>
      <c r="C3" t="s">
        <v>7</v>
      </c>
      <c r="D3">
        <v>1873</v>
      </c>
      <c r="E3">
        <v>18.919167000000002</v>
      </c>
      <c r="F3">
        <v>-98.436667</v>
      </c>
      <c r="G3">
        <v>10.1</v>
      </c>
      <c r="H3">
        <v>10.88</v>
      </c>
      <c r="N3">
        <v>53.73</v>
      </c>
      <c r="AA3">
        <v>13</v>
      </c>
      <c r="AB3">
        <v>13</v>
      </c>
      <c r="AC3">
        <v>13</v>
      </c>
    </row>
    <row r="4" spans="1:37">
      <c r="A4">
        <v>130</v>
      </c>
      <c r="B4" t="s">
        <v>6</v>
      </c>
      <c r="C4" t="s">
        <v>7</v>
      </c>
      <c r="D4">
        <v>1872</v>
      </c>
      <c r="E4">
        <v>18.913333000000002</v>
      </c>
      <c r="F4">
        <v>-98.440556000000001</v>
      </c>
      <c r="G4">
        <v>10.5</v>
      </c>
      <c r="H4">
        <v>11.35</v>
      </c>
      <c r="N4">
        <v>15.01</v>
      </c>
      <c r="AA4">
        <v>78.7</v>
      </c>
      <c r="AB4">
        <v>78.88</v>
      </c>
      <c r="AC4">
        <v>78.88</v>
      </c>
    </row>
    <row r="5" spans="1:37">
      <c r="A5">
        <v>132</v>
      </c>
      <c r="B5" t="s">
        <v>6</v>
      </c>
      <c r="C5" t="s">
        <v>7</v>
      </c>
      <c r="D5">
        <v>1864</v>
      </c>
      <c r="E5">
        <v>18.906110999999999</v>
      </c>
      <c r="F5">
        <v>-98.448888999999994</v>
      </c>
      <c r="G5">
        <v>16.2</v>
      </c>
      <c r="H5">
        <v>16.72</v>
      </c>
      <c r="N5">
        <v>17.2</v>
      </c>
      <c r="AA5">
        <v>19</v>
      </c>
      <c r="AB5">
        <v>20.63</v>
      </c>
      <c r="AC5">
        <v>20.64</v>
      </c>
    </row>
    <row r="6" spans="1:37">
      <c r="A6">
        <v>143</v>
      </c>
      <c r="B6" t="s">
        <v>6</v>
      </c>
      <c r="C6" t="s">
        <v>7</v>
      </c>
      <c r="D6">
        <v>1723</v>
      </c>
      <c r="E6">
        <v>18.839721999999998</v>
      </c>
      <c r="F6">
        <v>-98.440556000000001</v>
      </c>
      <c r="G6">
        <v>11.95</v>
      </c>
      <c r="H6">
        <v>11.7</v>
      </c>
      <c r="N6">
        <v>12.33</v>
      </c>
      <c r="AA6">
        <v>12.2</v>
      </c>
      <c r="AB6">
        <v>16.02</v>
      </c>
      <c r="AC6">
        <v>14.1</v>
      </c>
    </row>
    <row r="7" spans="1:37">
      <c r="A7">
        <v>154</v>
      </c>
      <c r="B7" t="s">
        <v>6</v>
      </c>
      <c r="C7" t="s">
        <v>7</v>
      </c>
      <c r="D7">
        <v>1500</v>
      </c>
      <c r="E7">
        <v>18.723056</v>
      </c>
      <c r="F7">
        <v>-98.449444</v>
      </c>
      <c r="G7">
        <v>22</v>
      </c>
      <c r="H7">
        <v>23.37</v>
      </c>
      <c r="N7">
        <v>24.13</v>
      </c>
      <c r="AA7">
        <v>22</v>
      </c>
      <c r="AB7">
        <v>23.2</v>
      </c>
      <c r="AC7">
        <v>26.05</v>
      </c>
    </row>
    <row r="8" spans="1:37">
      <c r="A8">
        <v>159</v>
      </c>
      <c r="B8" t="s">
        <v>6</v>
      </c>
      <c r="C8" t="s">
        <v>7</v>
      </c>
      <c r="D8">
        <v>1828</v>
      </c>
      <c r="E8">
        <v>18.871110999999999</v>
      </c>
      <c r="F8">
        <v>-98.462778</v>
      </c>
      <c r="G8">
        <v>48.35</v>
      </c>
      <c r="H8">
        <v>50.37</v>
      </c>
      <c r="N8">
        <v>50.52</v>
      </c>
      <c r="AA8">
        <v>52</v>
      </c>
      <c r="AC8">
        <v>53.1</v>
      </c>
    </row>
    <row r="9" spans="1:37">
      <c r="A9">
        <v>169</v>
      </c>
      <c r="B9" t="s">
        <v>6</v>
      </c>
      <c r="C9" t="s">
        <v>7</v>
      </c>
      <c r="D9">
        <v>1814</v>
      </c>
      <c r="E9">
        <v>18.882777999999998</v>
      </c>
      <c r="F9">
        <v>-98.353333000000006</v>
      </c>
      <c r="G9">
        <v>4</v>
      </c>
      <c r="H9">
        <v>4.7</v>
      </c>
      <c r="N9">
        <v>3.64</v>
      </c>
      <c r="AA9">
        <v>5</v>
      </c>
      <c r="AB9">
        <v>6.2</v>
      </c>
      <c r="AC9">
        <v>3.96</v>
      </c>
      <c r="AG9">
        <v>4.95</v>
      </c>
    </row>
    <row r="10" spans="1:37">
      <c r="A10">
        <v>174</v>
      </c>
      <c r="B10" t="s">
        <v>6</v>
      </c>
      <c r="C10" t="s">
        <v>7</v>
      </c>
      <c r="D10">
        <v>1359</v>
      </c>
      <c r="E10">
        <v>18.644444</v>
      </c>
      <c r="F10">
        <v>-98.463333000000006</v>
      </c>
      <c r="G10">
        <v>16.100000000000001</v>
      </c>
      <c r="H10">
        <v>15.85</v>
      </c>
      <c r="N10">
        <v>19.97</v>
      </c>
      <c r="AA10">
        <v>13</v>
      </c>
      <c r="AB10">
        <v>22.1</v>
      </c>
    </row>
    <row r="11" spans="1:37">
      <c r="A11">
        <v>184</v>
      </c>
      <c r="B11" t="s">
        <v>6</v>
      </c>
      <c r="C11" t="s">
        <v>7</v>
      </c>
      <c r="D11">
        <v>1333</v>
      </c>
      <c r="E11">
        <v>18.625</v>
      </c>
      <c r="F11">
        <v>-98.470556000000002</v>
      </c>
      <c r="G11">
        <v>3.75</v>
      </c>
      <c r="H11">
        <v>4.0999999999999996</v>
      </c>
      <c r="N11">
        <v>2.84</v>
      </c>
      <c r="AA11">
        <v>8</v>
      </c>
      <c r="AB11">
        <v>6.5</v>
      </c>
      <c r="AC11">
        <v>6.06</v>
      </c>
    </row>
    <row r="12" spans="1:37">
      <c r="A12">
        <v>186</v>
      </c>
      <c r="B12" t="s">
        <v>6</v>
      </c>
      <c r="C12" t="s">
        <v>7</v>
      </c>
      <c r="D12">
        <v>1303</v>
      </c>
      <c r="E12">
        <v>18.621666999999999</v>
      </c>
      <c r="F12">
        <v>-98.452777999999995</v>
      </c>
      <c r="G12">
        <v>12.2</v>
      </c>
      <c r="H12">
        <v>11.8</v>
      </c>
      <c r="N12">
        <v>12.92</v>
      </c>
      <c r="AA12">
        <v>12</v>
      </c>
      <c r="AB12">
        <v>12.54</v>
      </c>
      <c r="AC12">
        <v>12.36</v>
      </c>
      <c r="AG12">
        <v>15</v>
      </c>
    </row>
    <row r="13" spans="1:37">
      <c r="A13">
        <v>190</v>
      </c>
      <c r="B13" t="s">
        <v>6</v>
      </c>
      <c r="C13" t="s">
        <v>7</v>
      </c>
      <c r="D13">
        <v>1301</v>
      </c>
      <c r="E13">
        <v>18.605556</v>
      </c>
      <c r="F13">
        <v>-98.427222</v>
      </c>
      <c r="G13">
        <v>13.2</v>
      </c>
      <c r="H13">
        <v>14</v>
      </c>
      <c r="N13">
        <v>7.68</v>
      </c>
    </row>
    <row r="14" spans="1:37">
      <c r="A14">
        <v>194</v>
      </c>
      <c r="B14" t="s">
        <v>6</v>
      </c>
      <c r="C14" t="s">
        <v>7</v>
      </c>
      <c r="D14">
        <v>1287</v>
      </c>
      <c r="E14">
        <v>18.599443999999998</v>
      </c>
      <c r="F14">
        <v>-98.449444</v>
      </c>
      <c r="G14">
        <v>11.65</v>
      </c>
      <c r="H14">
        <v>12</v>
      </c>
      <c r="N14">
        <v>9.23</v>
      </c>
      <c r="AA14">
        <v>12.88</v>
      </c>
      <c r="AB14">
        <v>17.8</v>
      </c>
      <c r="AC14">
        <v>13.6</v>
      </c>
      <c r="AG14">
        <v>11</v>
      </c>
    </row>
    <row r="15" spans="1:37">
      <c r="A15">
        <v>195</v>
      </c>
      <c r="B15" t="s">
        <v>6</v>
      </c>
      <c r="C15" t="s">
        <v>7</v>
      </c>
      <c r="D15">
        <v>1292</v>
      </c>
      <c r="E15">
        <v>18.600556000000001</v>
      </c>
      <c r="F15">
        <v>-98.444166999999993</v>
      </c>
      <c r="G15">
        <v>8.9</v>
      </c>
      <c r="H15">
        <v>9.1</v>
      </c>
      <c r="N15">
        <v>9.7200000000000006</v>
      </c>
      <c r="AA15">
        <v>11</v>
      </c>
      <c r="AB15">
        <v>10.199999999999999</v>
      </c>
      <c r="AC15">
        <v>8.75</v>
      </c>
    </row>
    <row r="16" spans="1:37">
      <c r="A16">
        <v>199</v>
      </c>
      <c r="B16" t="s">
        <v>6</v>
      </c>
      <c r="C16" t="s">
        <v>7</v>
      </c>
      <c r="D16">
        <v>1284</v>
      </c>
      <c r="E16">
        <v>18.591667000000001</v>
      </c>
      <c r="F16">
        <v>-98.445832999999993</v>
      </c>
      <c r="G16">
        <v>7.8</v>
      </c>
      <c r="H16">
        <v>8.15</v>
      </c>
      <c r="N16">
        <v>5.81</v>
      </c>
    </row>
    <row r="17" spans="1:36">
      <c r="A17">
        <v>20</v>
      </c>
      <c r="B17" t="s">
        <v>6</v>
      </c>
      <c r="C17" t="s">
        <v>8</v>
      </c>
      <c r="D17">
        <v>2172</v>
      </c>
      <c r="E17">
        <v>18.984024999999999</v>
      </c>
      <c r="F17">
        <v>-98.443635</v>
      </c>
      <c r="G17">
        <v>39.25</v>
      </c>
      <c r="H17">
        <v>44.8</v>
      </c>
      <c r="N17">
        <v>40.04</v>
      </c>
      <c r="AA17">
        <v>45.5</v>
      </c>
      <c r="AB17">
        <v>43.3</v>
      </c>
    </row>
    <row r="18" spans="1:36">
      <c r="A18">
        <v>214</v>
      </c>
      <c r="B18" t="s">
        <v>6</v>
      </c>
      <c r="C18" t="s">
        <v>7</v>
      </c>
      <c r="D18">
        <v>1314</v>
      </c>
      <c r="E18">
        <v>18.605556</v>
      </c>
      <c r="F18">
        <v>-98.398888999999997</v>
      </c>
      <c r="G18">
        <v>8</v>
      </c>
      <c r="H18">
        <v>16.059999999999999</v>
      </c>
      <c r="N18">
        <v>5.85</v>
      </c>
      <c r="AA18">
        <v>5.3</v>
      </c>
      <c r="AB18">
        <v>6.71</v>
      </c>
      <c r="AC18">
        <v>7.03</v>
      </c>
      <c r="AJ18">
        <v>35.4</v>
      </c>
    </row>
    <row r="19" spans="1:36">
      <c r="A19">
        <v>215</v>
      </c>
      <c r="B19" t="s">
        <v>6</v>
      </c>
      <c r="C19" t="s">
        <v>7</v>
      </c>
      <c r="D19">
        <v>1326</v>
      </c>
      <c r="E19">
        <v>18.618888999999999</v>
      </c>
      <c r="F19">
        <v>-98.385555999999994</v>
      </c>
      <c r="G19">
        <v>9.4</v>
      </c>
      <c r="N19">
        <v>10.1</v>
      </c>
      <c r="AA19">
        <v>10</v>
      </c>
      <c r="AB19">
        <v>11.1</v>
      </c>
      <c r="AC19">
        <v>11.18</v>
      </c>
      <c r="AG19">
        <v>10.5</v>
      </c>
    </row>
    <row r="20" spans="1:36">
      <c r="A20">
        <v>216</v>
      </c>
      <c r="B20" t="s">
        <v>6</v>
      </c>
      <c r="C20" t="s">
        <v>7</v>
      </c>
      <c r="D20">
        <v>1348</v>
      </c>
      <c r="E20">
        <v>18.654167000000001</v>
      </c>
      <c r="F20">
        <v>-98.339167000000003</v>
      </c>
      <c r="G20">
        <v>7.2</v>
      </c>
      <c r="H20">
        <v>7.6</v>
      </c>
      <c r="N20">
        <v>5.37</v>
      </c>
      <c r="AA20">
        <v>5.2</v>
      </c>
      <c r="AB20">
        <v>7.05</v>
      </c>
      <c r="AC20">
        <v>3.21</v>
      </c>
    </row>
    <row r="21" spans="1:36">
      <c r="A21">
        <v>229</v>
      </c>
      <c r="B21" t="s">
        <v>6</v>
      </c>
      <c r="C21" t="s">
        <v>7</v>
      </c>
      <c r="D21">
        <v>1276</v>
      </c>
      <c r="E21">
        <v>18.584167000000001</v>
      </c>
      <c r="F21">
        <v>-98.453889000000004</v>
      </c>
      <c r="G21">
        <v>9.5</v>
      </c>
      <c r="N21">
        <v>7.17</v>
      </c>
      <c r="AA21">
        <v>9.5</v>
      </c>
      <c r="AB21">
        <v>10.1</v>
      </c>
    </row>
    <row r="22" spans="1:36">
      <c r="A22">
        <v>23</v>
      </c>
      <c r="B22" t="s">
        <v>6</v>
      </c>
      <c r="C22" t="s">
        <v>7</v>
      </c>
      <c r="D22">
        <v>1936</v>
      </c>
      <c r="E22">
        <v>18.934298999999999</v>
      </c>
      <c r="F22">
        <v>-98.454745000000003</v>
      </c>
      <c r="G22">
        <v>53.2</v>
      </c>
      <c r="H22">
        <v>52.6</v>
      </c>
      <c r="N22">
        <v>53.17</v>
      </c>
      <c r="AA22">
        <v>52.8</v>
      </c>
      <c r="AB22">
        <v>52.5</v>
      </c>
      <c r="AC22">
        <v>53.15</v>
      </c>
    </row>
    <row r="23" spans="1:36">
      <c r="A23">
        <v>245</v>
      </c>
      <c r="B23" t="s">
        <v>6</v>
      </c>
      <c r="C23" t="s">
        <v>7</v>
      </c>
      <c r="D23">
        <v>1210</v>
      </c>
      <c r="E23">
        <v>18.576111000000001</v>
      </c>
      <c r="F23">
        <v>-98.522221999999999</v>
      </c>
      <c r="G23">
        <v>3</v>
      </c>
      <c r="H23">
        <v>3.15</v>
      </c>
      <c r="N23">
        <v>0.31</v>
      </c>
      <c r="AJ23">
        <v>60</v>
      </c>
    </row>
    <row r="24" spans="1:36">
      <c r="A24">
        <v>249</v>
      </c>
      <c r="B24" t="s">
        <v>6</v>
      </c>
      <c r="C24" t="s">
        <v>7</v>
      </c>
      <c r="D24">
        <v>1203</v>
      </c>
      <c r="E24">
        <v>18.551943999999999</v>
      </c>
      <c r="F24">
        <v>-98.517499999999998</v>
      </c>
      <c r="G24">
        <v>7</v>
      </c>
      <c r="H24">
        <v>5.54</v>
      </c>
      <c r="N24">
        <v>2.2799999999999998</v>
      </c>
      <c r="AA24">
        <v>3</v>
      </c>
      <c r="AB24">
        <v>6.4</v>
      </c>
      <c r="AC24">
        <v>6.95</v>
      </c>
    </row>
    <row r="25" spans="1:36">
      <c r="A25">
        <v>256</v>
      </c>
      <c r="B25" t="s">
        <v>6</v>
      </c>
      <c r="C25" t="s">
        <v>7</v>
      </c>
      <c r="D25">
        <v>1244</v>
      </c>
      <c r="E25">
        <v>18.589444</v>
      </c>
      <c r="F25">
        <v>-98.503056000000001</v>
      </c>
      <c r="G25">
        <v>2.7</v>
      </c>
      <c r="H25">
        <v>6.69</v>
      </c>
      <c r="N25">
        <v>2.34</v>
      </c>
      <c r="AA25">
        <v>5.6</v>
      </c>
      <c r="AB25">
        <v>4.8600000000000003</v>
      </c>
      <c r="AC25">
        <v>3.56</v>
      </c>
    </row>
    <row r="26" spans="1:36">
      <c r="A26">
        <v>258</v>
      </c>
      <c r="B26" t="s">
        <v>6</v>
      </c>
      <c r="C26" t="s">
        <v>7</v>
      </c>
      <c r="D26">
        <v>1254</v>
      </c>
      <c r="E26">
        <v>18.576111000000001</v>
      </c>
      <c r="F26">
        <v>-98.476944000000003</v>
      </c>
      <c r="G26">
        <v>10</v>
      </c>
      <c r="H26">
        <v>12.79</v>
      </c>
      <c r="N26">
        <v>8.98</v>
      </c>
      <c r="AA26">
        <v>7.79</v>
      </c>
      <c r="AB26">
        <v>11.25</v>
      </c>
      <c r="AC26">
        <v>8.6</v>
      </c>
    </row>
    <row r="27" spans="1:36">
      <c r="A27">
        <v>262</v>
      </c>
      <c r="B27" t="s">
        <v>6</v>
      </c>
      <c r="C27" t="s">
        <v>7</v>
      </c>
      <c r="D27">
        <v>1219</v>
      </c>
      <c r="E27">
        <v>18.554167</v>
      </c>
      <c r="F27">
        <v>-98.486110999999994</v>
      </c>
      <c r="G27">
        <v>6</v>
      </c>
      <c r="H27">
        <v>5.9</v>
      </c>
      <c r="N27">
        <v>4.26</v>
      </c>
      <c r="AA27">
        <v>8</v>
      </c>
      <c r="AB27">
        <v>8.6</v>
      </c>
      <c r="AC27">
        <v>13.12</v>
      </c>
    </row>
    <row r="28" spans="1:36">
      <c r="A28">
        <v>267</v>
      </c>
      <c r="B28" t="s">
        <v>6</v>
      </c>
      <c r="C28" t="s">
        <v>7</v>
      </c>
      <c r="D28">
        <v>1210</v>
      </c>
      <c r="E28">
        <v>18.533888999999999</v>
      </c>
      <c r="F28">
        <v>-98.508611000000002</v>
      </c>
      <c r="G28">
        <v>5</v>
      </c>
      <c r="H28">
        <v>6.3</v>
      </c>
      <c r="N28">
        <v>3.65</v>
      </c>
      <c r="AA28">
        <v>3</v>
      </c>
      <c r="AB28">
        <v>4.58</v>
      </c>
      <c r="AC28">
        <v>9.86</v>
      </c>
      <c r="AG28">
        <v>1.7</v>
      </c>
    </row>
    <row r="29" spans="1:36">
      <c r="A29">
        <v>278</v>
      </c>
      <c r="B29" t="s">
        <v>6</v>
      </c>
      <c r="C29" t="s">
        <v>7</v>
      </c>
      <c r="D29">
        <v>1165</v>
      </c>
      <c r="E29">
        <v>18.543610999999999</v>
      </c>
      <c r="F29">
        <v>-98.549443999999994</v>
      </c>
      <c r="G29">
        <v>23</v>
      </c>
      <c r="H29">
        <v>25.95</v>
      </c>
      <c r="N29">
        <v>22.52</v>
      </c>
      <c r="AA29">
        <v>26.9</v>
      </c>
      <c r="AB29">
        <v>26.5</v>
      </c>
      <c r="AC29">
        <v>12.45</v>
      </c>
    </row>
    <row r="30" spans="1:36">
      <c r="A30">
        <v>283</v>
      </c>
      <c r="B30" t="s">
        <v>6</v>
      </c>
      <c r="C30" t="s">
        <v>7</v>
      </c>
      <c r="D30">
        <v>1220</v>
      </c>
      <c r="E30">
        <v>18.601111</v>
      </c>
      <c r="F30">
        <v>-98.568888999999999</v>
      </c>
      <c r="G30">
        <v>20</v>
      </c>
      <c r="H30">
        <v>20.76</v>
      </c>
      <c r="N30">
        <v>19.93</v>
      </c>
    </row>
    <row r="31" spans="1:36">
      <c r="A31">
        <v>294</v>
      </c>
      <c r="B31" t="s">
        <v>6</v>
      </c>
      <c r="C31" t="s">
        <v>7</v>
      </c>
      <c r="D31">
        <v>1528</v>
      </c>
      <c r="E31">
        <v>18.762778000000001</v>
      </c>
      <c r="F31">
        <v>-98.524721999999997</v>
      </c>
      <c r="G31">
        <v>45.9</v>
      </c>
      <c r="AA31">
        <v>52</v>
      </c>
      <c r="AB31">
        <v>50.3</v>
      </c>
      <c r="AC31">
        <v>51.1</v>
      </c>
    </row>
    <row r="32" spans="1:36">
      <c r="A32">
        <v>295</v>
      </c>
      <c r="B32" t="s">
        <v>6</v>
      </c>
      <c r="C32" t="s">
        <v>7</v>
      </c>
      <c r="D32">
        <v>1963</v>
      </c>
      <c r="E32">
        <v>18.939444000000002</v>
      </c>
      <c r="F32">
        <v>-98.399444000000003</v>
      </c>
      <c r="G32">
        <v>22.9</v>
      </c>
      <c r="H32">
        <v>23.15</v>
      </c>
      <c r="N32">
        <v>27.12</v>
      </c>
    </row>
    <row r="33" spans="1:36">
      <c r="A33">
        <v>30</v>
      </c>
      <c r="B33" t="s">
        <v>6</v>
      </c>
      <c r="C33" t="s">
        <v>7</v>
      </c>
      <c r="D33">
        <v>1663</v>
      </c>
      <c r="E33">
        <v>18.796944</v>
      </c>
      <c r="F33">
        <v>-98.465000000000003</v>
      </c>
      <c r="G33">
        <v>29.2</v>
      </c>
      <c r="H33">
        <v>31</v>
      </c>
      <c r="N33">
        <v>30.77</v>
      </c>
      <c r="AA33">
        <v>29</v>
      </c>
      <c r="AB33">
        <v>19.399999999999999</v>
      </c>
      <c r="AC33">
        <v>21.34</v>
      </c>
    </row>
    <row r="34" spans="1:36">
      <c r="A34">
        <v>31</v>
      </c>
      <c r="B34" t="s">
        <v>6</v>
      </c>
      <c r="C34" t="s">
        <v>7</v>
      </c>
      <c r="D34">
        <v>1665</v>
      </c>
      <c r="E34">
        <v>18.794167000000002</v>
      </c>
      <c r="F34">
        <v>-98.484166999999999</v>
      </c>
      <c r="G34">
        <v>23.95</v>
      </c>
      <c r="H34">
        <v>25.06</v>
      </c>
      <c r="N34">
        <v>29.76</v>
      </c>
      <c r="AA34">
        <v>24.6</v>
      </c>
      <c r="AB34">
        <v>35.1</v>
      </c>
      <c r="AC34">
        <v>26.53</v>
      </c>
    </row>
    <row r="35" spans="1:36">
      <c r="A35">
        <v>32</v>
      </c>
      <c r="B35" t="s">
        <v>6</v>
      </c>
      <c r="C35" t="s">
        <v>7</v>
      </c>
      <c r="D35">
        <v>1664</v>
      </c>
      <c r="E35">
        <v>18.794443999999999</v>
      </c>
      <c r="F35">
        <v>-98.498610999999997</v>
      </c>
      <c r="G35">
        <v>53</v>
      </c>
      <c r="H35">
        <v>53.65</v>
      </c>
      <c r="N35">
        <v>53.1</v>
      </c>
      <c r="AA35">
        <v>31</v>
      </c>
      <c r="AB35">
        <v>53.7</v>
      </c>
      <c r="AC35">
        <v>57.8</v>
      </c>
    </row>
    <row r="36" spans="1:36">
      <c r="A36">
        <v>33</v>
      </c>
      <c r="B36" t="s">
        <v>6</v>
      </c>
      <c r="C36" t="s">
        <v>7</v>
      </c>
      <c r="D36">
        <v>1576</v>
      </c>
      <c r="E36">
        <v>18.760278</v>
      </c>
      <c r="F36">
        <v>-98.487222000000003</v>
      </c>
      <c r="G36">
        <v>45.2</v>
      </c>
      <c r="H36">
        <v>45.3</v>
      </c>
      <c r="N36">
        <v>31.36</v>
      </c>
      <c r="AA36">
        <v>33.64</v>
      </c>
      <c r="AB36">
        <v>33.799999999999997</v>
      </c>
      <c r="AC36">
        <v>33.799999999999997</v>
      </c>
      <c r="AJ36">
        <v>28</v>
      </c>
    </row>
    <row r="37" spans="1:36">
      <c r="A37">
        <v>35</v>
      </c>
      <c r="B37" t="s">
        <v>6</v>
      </c>
      <c r="C37" t="s">
        <v>7</v>
      </c>
      <c r="D37">
        <v>1553</v>
      </c>
      <c r="E37">
        <v>18.746943999999999</v>
      </c>
      <c r="F37">
        <v>-98.478333000000006</v>
      </c>
      <c r="G37">
        <v>36</v>
      </c>
      <c r="H37">
        <v>36.200000000000003</v>
      </c>
      <c r="N37">
        <v>28.77</v>
      </c>
      <c r="AA37">
        <v>30.48</v>
      </c>
      <c r="AB37">
        <v>31.3</v>
      </c>
      <c r="AC37">
        <v>32.92</v>
      </c>
    </row>
    <row r="38" spans="1:36">
      <c r="A38">
        <v>37</v>
      </c>
      <c r="B38" t="s">
        <v>6</v>
      </c>
      <c r="C38" t="s">
        <v>7</v>
      </c>
      <c r="D38">
        <v>1584</v>
      </c>
      <c r="E38">
        <v>18.760833000000002</v>
      </c>
      <c r="F38">
        <v>-98.502778000000006</v>
      </c>
      <c r="G38">
        <v>29.15</v>
      </c>
      <c r="H38">
        <v>29.16</v>
      </c>
      <c r="N38">
        <v>28.43</v>
      </c>
      <c r="AA38">
        <v>27.5</v>
      </c>
      <c r="AC38">
        <v>44.28</v>
      </c>
    </row>
    <row r="39" spans="1:36">
      <c r="A39">
        <v>50</v>
      </c>
      <c r="B39" t="s">
        <v>6</v>
      </c>
      <c r="C39" t="s">
        <v>7</v>
      </c>
      <c r="D39">
        <v>1694</v>
      </c>
      <c r="E39">
        <v>18.809443999999999</v>
      </c>
      <c r="F39">
        <v>-98.497777999999997</v>
      </c>
      <c r="G39">
        <v>62.7</v>
      </c>
      <c r="H39">
        <v>63.5</v>
      </c>
      <c r="N39">
        <v>63.26</v>
      </c>
      <c r="AA39">
        <v>60.25</v>
      </c>
      <c r="AB39">
        <v>64.5</v>
      </c>
      <c r="AC39">
        <v>64.150000000000006</v>
      </c>
    </row>
    <row r="40" spans="1:36">
      <c r="A40">
        <v>53</v>
      </c>
      <c r="B40" t="s">
        <v>6</v>
      </c>
      <c r="C40" t="s">
        <v>7</v>
      </c>
      <c r="D40">
        <v>1496</v>
      </c>
      <c r="E40">
        <v>18.725277999999999</v>
      </c>
      <c r="F40">
        <v>-98.51</v>
      </c>
      <c r="G40">
        <v>32.549999999999997</v>
      </c>
      <c r="H40">
        <v>33.5</v>
      </c>
      <c r="N40">
        <v>37.43</v>
      </c>
      <c r="AA40">
        <v>20</v>
      </c>
      <c r="AB40">
        <v>22.1</v>
      </c>
      <c r="AC40">
        <v>23.85</v>
      </c>
    </row>
    <row r="41" spans="1:36">
      <c r="A41">
        <v>59</v>
      </c>
      <c r="B41" t="s">
        <v>6</v>
      </c>
      <c r="C41" t="s">
        <v>7</v>
      </c>
      <c r="D41">
        <v>1434</v>
      </c>
      <c r="E41">
        <v>18.687778000000002</v>
      </c>
      <c r="F41">
        <v>-98.499722000000006</v>
      </c>
      <c r="G41">
        <v>21.4</v>
      </c>
      <c r="N41">
        <v>27.6</v>
      </c>
      <c r="AA41">
        <v>12.1</v>
      </c>
      <c r="AB41">
        <v>18.2</v>
      </c>
      <c r="AC41">
        <v>16.16</v>
      </c>
    </row>
    <row r="42" spans="1:36">
      <c r="A42">
        <v>62</v>
      </c>
      <c r="B42" t="s">
        <v>6</v>
      </c>
      <c r="C42" t="s">
        <v>7</v>
      </c>
      <c r="D42">
        <v>1442</v>
      </c>
      <c r="E42">
        <v>18.710277999999999</v>
      </c>
      <c r="F42">
        <v>-98.531666999999999</v>
      </c>
      <c r="G42">
        <v>29.8</v>
      </c>
      <c r="H42">
        <v>30</v>
      </c>
      <c r="N42">
        <v>30.66</v>
      </c>
      <c r="AA42">
        <v>21.73</v>
      </c>
      <c r="AB42">
        <v>28.4</v>
      </c>
      <c r="AC42">
        <v>30.5</v>
      </c>
    </row>
    <row r="43" spans="1:36">
      <c r="A43">
        <v>68</v>
      </c>
      <c r="B43" t="s">
        <v>6</v>
      </c>
      <c r="C43" t="s">
        <v>7</v>
      </c>
      <c r="D43">
        <v>1772</v>
      </c>
      <c r="E43">
        <v>18.846388999999999</v>
      </c>
      <c r="F43">
        <v>-98.477500000000006</v>
      </c>
      <c r="G43">
        <v>61.45</v>
      </c>
      <c r="H43">
        <v>62.1</v>
      </c>
      <c r="N43">
        <v>66.64</v>
      </c>
    </row>
    <row r="44" spans="1:36">
      <c r="A44">
        <v>72</v>
      </c>
      <c r="B44" t="s">
        <v>6</v>
      </c>
      <c r="C44" t="s">
        <v>7</v>
      </c>
      <c r="D44">
        <v>1780</v>
      </c>
      <c r="E44">
        <v>18.850000000000001</v>
      </c>
      <c r="F44">
        <v>-98.468333000000001</v>
      </c>
      <c r="G44">
        <v>29.4</v>
      </c>
      <c r="H44">
        <v>34.57</v>
      </c>
      <c r="N44">
        <v>36.94</v>
      </c>
    </row>
    <row r="45" spans="1:36">
      <c r="A45">
        <v>79</v>
      </c>
      <c r="B45" t="s">
        <v>6</v>
      </c>
      <c r="C45" t="s">
        <v>7</v>
      </c>
      <c r="D45">
        <v>1806</v>
      </c>
      <c r="E45">
        <v>18.853888999999999</v>
      </c>
      <c r="F45">
        <v>-98.487499999999997</v>
      </c>
      <c r="G45">
        <v>58.6</v>
      </c>
      <c r="N45">
        <v>30.48</v>
      </c>
      <c r="AA45">
        <v>29</v>
      </c>
      <c r="AC45">
        <v>28.2</v>
      </c>
    </row>
    <row r="46" spans="1:36">
      <c r="A46">
        <v>83</v>
      </c>
      <c r="B46" t="s">
        <v>6</v>
      </c>
      <c r="C46" t="s">
        <v>7</v>
      </c>
      <c r="D46">
        <v>1906</v>
      </c>
      <c r="E46">
        <v>18.889721999999999</v>
      </c>
      <c r="F46">
        <v>-98.483056000000005</v>
      </c>
      <c r="G46">
        <v>57.2</v>
      </c>
      <c r="H46">
        <v>57.6</v>
      </c>
      <c r="N46">
        <v>57.44</v>
      </c>
      <c r="AA46">
        <v>66.2</v>
      </c>
      <c r="AB46">
        <v>67.599999999999994</v>
      </c>
    </row>
    <row r="47" spans="1:36">
      <c r="A47" t="s">
        <v>9</v>
      </c>
      <c r="B47" t="s">
        <v>6</v>
      </c>
      <c r="C47" t="s">
        <v>10</v>
      </c>
      <c r="D47">
        <v>2240</v>
      </c>
      <c r="E47">
        <v>19.018567000000001</v>
      </c>
      <c r="F47">
        <v>-97.829849999999993</v>
      </c>
      <c r="H47">
        <v>45.25</v>
      </c>
    </row>
    <row r="48" spans="1:36">
      <c r="A48" t="s">
        <v>9</v>
      </c>
      <c r="B48" t="s">
        <v>6</v>
      </c>
      <c r="C48" t="s">
        <v>10</v>
      </c>
      <c r="D48">
        <v>2105</v>
      </c>
      <c r="E48">
        <v>18.967583000000001</v>
      </c>
      <c r="F48">
        <v>-97.758499999999998</v>
      </c>
      <c r="H48">
        <v>32.799999999999997</v>
      </c>
    </row>
    <row r="49" spans="1:36">
      <c r="A49" t="s">
        <v>11</v>
      </c>
      <c r="B49" t="s">
        <v>6</v>
      </c>
      <c r="C49" t="s">
        <v>10</v>
      </c>
      <c r="D49">
        <v>2223</v>
      </c>
      <c r="E49">
        <v>19.034883000000001</v>
      </c>
      <c r="F49">
        <v>-97.790982999999997</v>
      </c>
      <c r="H49">
        <v>68.8</v>
      </c>
    </row>
    <row r="50" spans="1:36">
      <c r="A50" t="s">
        <v>11</v>
      </c>
      <c r="B50" t="s">
        <v>6</v>
      </c>
      <c r="C50" t="s">
        <v>10</v>
      </c>
      <c r="D50">
        <v>2219</v>
      </c>
      <c r="E50">
        <v>18.987466999999999</v>
      </c>
      <c r="F50">
        <v>-97.811449999999994</v>
      </c>
      <c r="H50">
        <v>34.200000000000003</v>
      </c>
    </row>
    <row r="51" spans="1:36">
      <c r="A51" t="s">
        <v>12</v>
      </c>
      <c r="B51" t="s">
        <v>6</v>
      </c>
      <c r="C51" t="s">
        <v>8</v>
      </c>
      <c r="D51">
        <v>2134</v>
      </c>
      <c r="E51">
        <v>19.135587999999998</v>
      </c>
      <c r="F51">
        <v>-98.223844999999997</v>
      </c>
      <c r="V51">
        <v>24.45</v>
      </c>
      <c r="W51">
        <v>23.66</v>
      </c>
      <c r="X51">
        <v>23.8</v>
      </c>
      <c r="Y51">
        <v>22.75</v>
      </c>
      <c r="Z51">
        <v>21.97</v>
      </c>
      <c r="AA51">
        <v>23.16</v>
      </c>
      <c r="AB51">
        <v>23.26</v>
      </c>
      <c r="AC51">
        <v>22.93</v>
      </c>
      <c r="AD51">
        <v>24.59</v>
      </c>
      <c r="AE51">
        <v>24.92</v>
      </c>
      <c r="AF51">
        <v>24.66</v>
      </c>
      <c r="AG51">
        <v>25.52</v>
      </c>
      <c r="AH51">
        <v>26.44</v>
      </c>
      <c r="AI51">
        <v>27.39</v>
      </c>
      <c r="AJ51">
        <v>27.79</v>
      </c>
    </row>
    <row r="52" spans="1:36">
      <c r="A52" t="s">
        <v>13</v>
      </c>
      <c r="B52" t="s">
        <v>6</v>
      </c>
      <c r="C52" t="s">
        <v>8</v>
      </c>
      <c r="D52">
        <v>2178</v>
      </c>
      <c r="E52">
        <v>19.118592</v>
      </c>
      <c r="F52">
        <v>-98.213256000000001</v>
      </c>
      <c r="V52">
        <v>41.93</v>
      </c>
      <c r="W52">
        <v>41.2</v>
      </c>
      <c r="X52">
        <v>40.57</v>
      </c>
      <c r="Y52">
        <v>38.979999999999997</v>
      </c>
      <c r="Z52">
        <v>38.33</v>
      </c>
      <c r="AA52">
        <v>40.76</v>
      </c>
      <c r="AB52">
        <v>44.02</v>
      </c>
      <c r="AC52">
        <v>41.29</v>
      </c>
      <c r="AD52">
        <v>42.66</v>
      </c>
      <c r="AE52">
        <v>43.16</v>
      </c>
      <c r="AF52">
        <v>43.7</v>
      </c>
      <c r="AG52">
        <v>43.71</v>
      </c>
      <c r="AH52">
        <v>44.76</v>
      </c>
      <c r="AI52">
        <v>45.27</v>
      </c>
      <c r="AJ52">
        <v>45.53</v>
      </c>
    </row>
    <row r="53" spans="1:36">
      <c r="A53" t="s">
        <v>14</v>
      </c>
      <c r="B53" t="s">
        <v>6</v>
      </c>
      <c r="C53" t="s">
        <v>7</v>
      </c>
      <c r="D53">
        <v>1023.95</v>
      </c>
      <c r="E53">
        <v>18.481590000000001</v>
      </c>
      <c r="F53">
        <v>-98.665546000000006</v>
      </c>
      <c r="AJ53">
        <v>10.8</v>
      </c>
    </row>
    <row r="54" spans="1:36">
      <c r="A54" t="s">
        <v>15</v>
      </c>
      <c r="B54" t="s">
        <v>6</v>
      </c>
      <c r="C54" t="s">
        <v>7</v>
      </c>
      <c r="D54">
        <v>1085.3800000000001</v>
      </c>
      <c r="E54">
        <v>18.462963999999999</v>
      </c>
      <c r="F54">
        <v>-98.616718000000006</v>
      </c>
      <c r="AJ54">
        <v>15.83</v>
      </c>
    </row>
    <row r="55" spans="1:36">
      <c r="A55" t="s">
        <v>16</v>
      </c>
      <c r="B55" t="s">
        <v>6</v>
      </c>
      <c r="C55" t="s">
        <v>7</v>
      </c>
      <c r="D55">
        <v>1100.82</v>
      </c>
      <c r="E55">
        <v>18.528552999999999</v>
      </c>
      <c r="F55">
        <v>-98.619821000000002</v>
      </c>
      <c r="AJ55">
        <v>4.5</v>
      </c>
    </row>
    <row r="56" spans="1:36">
      <c r="A56" t="s">
        <v>17</v>
      </c>
      <c r="B56" t="s">
        <v>6</v>
      </c>
      <c r="C56" t="s">
        <v>7</v>
      </c>
      <c r="D56">
        <v>1199.79</v>
      </c>
      <c r="E56">
        <v>18.585225000000001</v>
      </c>
      <c r="F56">
        <v>-98.586616000000006</v>
      </c>
      <c r="AJ56">
        <v>14.7</v>
      </c>
    </row>
    <row r="57" spans="1:36">
      <c r="A57" t="s">
        <v>18</v>
      </c>
      <c r="B57" t="s">
        <v>6</v>
      </c>
      <c r="C57" t="s">
        <v>7</v>
      </c>
      <c r="D57">
        <v>1189.75</v>
      </c>
      <c r="E57">
        <v>18.574417</v>
      </c>
      <c r="F57">
        <v>-98.532651000000001</v>
      </c>
      <c r="AJ57">
        <v>1.65</v>
      </c>
    </row>
    <row r="58" spans="1:36">
      <c r="A58" t="s">
        <v>19</v>
      </c>
      <c r="B58" t="s">
        <v>6</v>
      </c>
      <c r="C58" t="s">
        <v>7</v>
      </c>
      <c r="D58">
        <v>1208.83</v>
      </c>
      <c r="E58">
        <v>18.546462999999999</v>
      </c>
      <c r="F58">
        <v>-98.499255000000005</v>
      </c>
      <c r="AJ58">
        <v>8.5399999999999991</v>
      </c>
    </row>
    <row r="59" spans="1:36">
      <c r="A59" t="s">
        <v>20</v>
      </c>
      <c r="B59" t="s">
        <v>6</v>
      </c>
      <c r="C59" t="s">
        <v>7</v>
      </c>
      <c r="D59">
        <v>1305.3699999999999</v>
      </c>
      <c r="E59">
        <v>18.539904</v>
      </c>
      <c r="F59">
        <v>-98.436081000000001</v>
      </c>
      <c r="AJ59">
        <v>18.82</v>
      </c>
    </row>
    <row r="60" spans="1:36">
      <c r="A60" t="s">
        <v>21</v>
      </c>
      <c r="B60" t="s">
        <v>6</v>
      </c>
      <c r="C60" t="s">
        <v>7</v>
      </c>
      <c r="D60">
        <v>1439.33</v>
      </c>
      <c r="E60">
        <v>18.698052000000001</v>
      </c>
      <c r="F60">
        <v>-98.501428000000004</v>
      </c>
      <c r="AJ60">
        <v>28.89</v>
      </c>
    </row>
    <row r="61" spans="1:36">
      <c r="A61" t="s">
        <v>22</v>
      </c>
      <c r="B61" t="s">
        <v>6</v>
      </c>
      <c r="C61" t="s">
        <v>7</v>
      </c>
      <c r="D61">
        <v>1338.55</v>
      </c>
      <c r="E61">
        <v>18.648941000000001</v>
      </c>
      <c r="F61">
        <v>-98.346957000000003</v>
      </c>
      <c r="AJ61">
        <v>5.21</v>
      </c>
    </row>
    <row r="62" spans="1:36">
      <c r="A62" t="s">
        <v>23</v>
      </c>
      <c r="B62" t="s">
        <v>6</v>
      </c>
      <c r="C62" t="s">
        <v>7</v>
      </c>
      <c r="D62">
        <v>1290.6199999999999</v>
      </c>
      <c r="E62">
        <v>18.609929000000001</v>
      </c>
      <c r="F62">
        <v>-98.446269000000001</v>
      </c>
      <c r="AJ62">
        <v>14.29</v>
      </c>
    </row>
    <row r="63" spans="1:36">
      <c r="A63" t="s">
        <v>24</v>
      </c>
      <c r="B63" t="s">
        <v>6</v>
      </c>
      <c r="C63" t="s">
        <v>7</v>
      </c>
      <c r="D63">
        <v>1746.23</v>
      </c>
      <c r="E63">
        <v>18.834302999999998</v>
      </c>
      <c r="F63">
        <v>-98.486841999999996</v>
      </c>
      <c r="AJ63">
        <v>65.569999999999993</v>
      </c>
    </row>
    <row r="64" spans="1:36">
      <c r="A64" t="s">
        <v>25</v>
      </c>
      <c r="B64" t="s">
        <v>6</v>
      </c>
      <c r="C64" t="s">
        <v>7</v>
      </c>
      <c r="D64">
        <v>1744.04</v>
      </c>
      <c r="E64">
        <v>18.814730999999998</v>
      </c>
      <c r="F64">
        <v>-98.329481999999999</v>
      </c>
      <c r="AJ64">
        <v>3.72</v>
      </c>
    </row>
    <row r="65" spans="1:36">
      <c r="A65" t="s">
        <v>26</v>
      </c>
      <c r="B65" t="s">
        <v>6</v>
      </c>
      <c r="C65" t="s">
        <v>7</v>
      </c>
      <c r="D65">
        <v>2313.64</v>
      </c>
      <c r="E65">
        <v>18.950816</v>
      </c>
      <c r="F65">
        <v>-98.544875000000005</v>
      </c>
      <c r="AJ65">
        <v>115.64</v>
      </c>
    </row>
    <row r="66" spans="1:36">
      <c r="A66" t="s">
        <v>27</v>
      </c>
      <c r="B66" t="s">
        <v>6</v>
      </c>
      <c r="C66" t="s">
        <v>8</v>
      </c>
      <c r="D66">
        <v>2060</v>
      </c>
      <c r="E66">
        <v>19.095759999999999</v>
      </c>
      <c r="F66">
        <v>-98.240547000000007</v>
      </c>
      <c r="V66">
        <v>40.15</v>
      </c>
      <c r="W66">
        <v>36.590000000000003</v>
      </c>
      <c r="X66">
        <v>35.76</v>
      </c>
      <c r="Y66">
        <v>35.32</v>
      </c>
      <c r="Z66">
        <v>37.28</v>
      </c>
      <c r="AA66">
        <v>37.6</v>
      </c>
      <c r="AB66">
        <v>37.82</v>
      </c>
      <c r="AC66">
        <v>40.85</v>
      </c>
      <c r="AD66">
        <v>41</v>
      </c>
      <c r="AE66">
        <v>36.22</v>
      </c>
      <c r="AF66">
        <v>37.75</v>
      </c>
      <c r="AG66">
        <v>38.43</v>
      </c>
      <c r="AH66">
        <v>37.01</v>
      </c>
      <c r="AI66">
        <v>52.87</v>
      </c>
      <c r="AJ66">
        <v>47</v>
      </c>
    </row>
    <row r="67" spans="1:36">
      <c r="A67" t="s">
        <v>28</v>
      </c>
      <c r="B67" t="s">
        <v>6</v>
      </c>
      <c r="C67" t="s">
        <v>8</v>
      </c>
      <c r="D67">
        <v>2109.9299999999998</v>
      </c>
      <c r="E67">
        <v>19.000553</v>
      </c>
      <c r="F67">
        <v>-98.277741000000006</v>
      </c>
      <c r="AJ67">
        <v>133</v>
      </c>
    </row>
    <row r="68" spans="1:36">
      <c r="A68" t="s">
        <v>29</v>
      </c>
      <c r="B68" t="s">
        <v>6</v>
      </c>
      <c r="C68" t="s">
        <v>10</v>
      </c>
      <c r="D68">
        <v>1907</v>
      </c>
      <c r="E68">
        <v>18.789683</v>
      </c>
      <c r="F68">
        <v>-97.896282999999997</v>
      </c>
      <c r="H68">
        <v>32.25</v>
      </c>
    </row>
    <row r="69" spans="1:36">
      <c r="A69" t="s">
        <v>30</v>
      </c>
      <c r="B69" t="s">
        <v>6</v>
      </c>
      <c r="C69" t="s">
        <v>7</v>
      </c>
      <c r="D69">
        <v>986.33</v>
      </c>
      <c r="E69">
        <v>18.494228</v>
      </c>
      <c r="F69">
        <v>-98.705961000000002</v>
      </c>
      <c r="AJ69">
        <v>2.4900000000000002</v>
      </c>
    </row>
    <row r="70" spans="1:36">
      <c r="A70" t="s">
        <v>31</v>
      </c>
      <c r="B70" t="s">
        <v>6</v>
      </c>
      <c r="C70" t="s">
        <v>8</v>
      </c>
      <c r="D70">
        <v>2240</v>
      </c>
      <c r="E70">
        <v>19.060669000000001</v>
      </c>
      <c r="F70">
        <v>-98.130452000000005</v>
      </c>
      <c r="V70">
        <v>51.68</v>
      </c>
      <c r="W70">
        <v>52.07</v>
      </c>
      <c r="X70">
        <v>54.99</v>
      </c>
      <c r="Y70">
        <v>48.6</v>
      </c>
      <c r="Z70">
        <v>49.78</v>
      </c>
      <c r="AA70">
        <v>50.59</v>
      </c>
      <c r="AB70">
        <v>47.79</v>
      </c>
      <c r="AC70">
        <v>46.98</v>
      </c>
      <c r="AD70">
        <v>47.36</v>
      </c>
      <c r="AE70">
        <v>46.2</v>
      </c>
      <c r="AF70">
        <v>46.14</v>
      </c>
      <c r="AG70">
        <v>45.58</v>
      </c>
      <c r="AH70">
        <v>46.22</v>
      </c>
      <c r="AI70">
        <v>45.77</v>
      </c>
      <c r="AJ70">
        <v>48.86</v>
      </c>
    </row>
    <row r="71" spans="1:36">
      <c r="A71" t="s">
        <v>32</v>
      </c>
      <c r="B71" t="s">
        <v>6</v>
      </c>
      <c r="C71" t="s">
        <v>8</v>
      </c>
      <c r="D71">
        <v>2138</v>
      </c>
      <c r="E71">
        <v>19.075824999999998</v>
      </c>
      <c r="F71">
        <v>-98.279246999999998</v>
      </c>
      <c r="V71">
        <v>83.2</v>
      </c>
      <c r="W71">
        <v>84.78</v>
      </c>
      <c r="X71">
        <v>78.16</v>
      </c>
      <c r="Y71">
        <v>79.94</v>
      </c>
      <c r="Z71">
        <v>87.87</v>
      </c>
      <c r="AD71">
        <v>95.04</v>
      </c>
      <c r="AE71">
        <v>96.36</v>
      </c>
      <c r="AF71">
        <v>97.81</v>
      </c>
      <c r="AG71">
        <v>99.78</v>
      </c>
      <c r="AH71">
        <v>101.47</v>
      </c>
      <c r="AI71">
        <v>103.64</v>
      </c>
      <c r="AJ71">
        <v>103.84</v>
      </c>
    </row>
    <row r="72" spans="1:36">
      <c r="A72" t="s">
        <v>33</v>
      </c>
      <c r="B72" t="s">
        <v>6</v>
      </c>
      <c r="C72" t="s">
        <v>8</v>
      </c>
      <c r="D72">
        <v>2110</v>
      </c>
      <c r="E72">
        <v>18.992933000000001</v>
      </c>
      <c r="F72">
        <v>-98.244747000000004</v>
      </c>
      <c r="V72">
        <v>95.76</v>
      </c>
      <c r="W72">
        <v>96.27</v>
      </c>
      <c r="X72">
        <v>94.09</v>
      </c>
      <c r="Y72">
        <v>85.96</v>
      </c>
      <c r="Z72">
        <v>94.66</v>
      </c>
      <c r="AA72">
        <v>94.78</v>
      </c>
      <c r="AB72">
        <v>99.65</v>
      </c>
      <c r="AC72">
        <v>98.78</v>
      </c>
      <c r="AD72">
        <v>100.22</v>
      </c>
      <c r="AE72">
        <v>102.17</v>
      </c>
      <c r="AF72">
        <v>100.87</v>
      </c>
      <c r="AG72">
        <v>102.4</v>
      </c>
      <c r="AH72">
        <v>101.53</v>
      </c>
      <c r="AI72">
        <v>102.57</v>
      </c>
      <c r="AJ72">
        <v>104.92</v>
      </c>
    </row>
    <row r="73" spans="1:36">
      <c r="A73" t="s">
        <v>34</v>
      </c>
      <c r="B73" t="s">
        <v>6</v>
      </c>
      <c r="C73" t="s">
        <v>8</v>
      </c>
      <c r="D73">
        <v>2206</v>
      </c>
      <c r="E73">
        <v>19.051438999999998</v>
      </c>
      <c r="F73">
        <v>-98.110918999999996</v>
      </c>
      <c r="M73">
        <v>58.75</v>
      </c>
    </row>
    <row r="74" spans="1:36">
      <c r="A74" t="s">
        <v>35</v>
      </c>
      <c r="B74" t="s">
        <v>6</v>
      </c>
      <c r="C74" t="s">
        <v>7</v>
      </c>
      <c r="D74">
        <v>1651.48</v>
      </c>
      <c r="E74">
        <v>18.808900000000001</v>
      </c>
      <c r="F74">
        <v>-98.453299999999999</v>
      </c>
      <c r="AJ74">
        <v>15.49</v>
      </c>
    </row>
    <row r="75" spans="1:36">
      <c r="A75" t="s">
        <v>36</v>
      </c>
      <c r="B75" t="s">
        <v>6</v>
      </c>
      <c r="C75" t="s">
        <v>8</v>
      </c>
      <c r="D75">
        <v>2196</v>
      </c>
      <c r="E75">
        <v>19.021069000000001</v>
      </c>
      <c r="F75">
        <v>-98.084958</v>
      </c>
      <c r="M75">
        <v>55.13</v>
      </c>
    </row>
    <row r="76" spans="1:36">
      <c r="A76" t="s">
        <v>37</v>
      </c>
      <c r="B76" t="s">
        <v>6</v>
      </c>
      <c r="C76" t="s">
        <v>7</v>
      </c>
      <c r="D76">
        <v>1755.85</v>
      </c>
      <c r="E76">
        <v>18.826699999999999</v>
      </c>
      <c r="F76">
        <v>-98.555000000000007</v>
      </c>
      <c r="AJ76">
        <v>39.96</v>
      </c>
    </row>
    <row r="77" spans="1:36">
      <c r="A77" t="s">
        <v>38</v>
      </c>
      <c r="B77" t="s">
        <v>6</v>
      </c>
      <c r="C77" t="s">
        <v>8</v>
      </c>
      <c r="D77">
        <v>2262.25</v>
      </c>
      <c r="E77">
        <v>19.247221</v>
      </c>
      <c r="F77">
        <v>-98.426648999999998</v>
      </c>
      <c r="AJ77">
        <v>29.81</v>
      </c>
    </row>
    <row r="78" spans="1:36">
      <c r="A78" t="s">
        <v>39</v>
      </c>
      <c r="B78" t="s">
        <v>6</v>
      </c>
      <c r="C78" t="s">
        <v>8</v>
      </c>
      <c r="D78">
        <v>2278</v>
      </c>
      <c r="E78">
        <v>19.071218999999999</v>
      </c>
      <c r="F78">
        <v>-98.251469</v>
      </c>
      <c r="M78">
        <v>7.43</v>
      </c>
    </row>
    <row r="79" spans="1:36">
      <c r="A79" t="s">
        <v>40</v>
      </c>
      <c r="B79" t="s">
        <v>6</v>
      </c>
      <c r="C79" t="s">
        <v>8</v>
      </c>
      <c r="D79">
        <v>2208</v>
      </c>
      <c r="E79">
        <v>19.030557999999999</v>
      </c>
      <c r="F79">
        <v>-98.092968999999997</v>
      </c>
      <c r="M79">
        <v>68.7</v>
      </c>
    </row>
    <row r="80" spans="1:36">
      <c r="A80" t="s">
        <v>41</v>
      </c>
      <c r="B80" t="s">
        <v>6</v>
      </c>
      <c r="C80" t="s">
        <v>8</v>
      </c>
      <c r="D80">
        <v>2280</v>
      </c>
      <c r="E80">
        <v>19.113838999999999</v>
      </c>
      <c r="F80">
        <v>-98.253831000000005</v>
      </c>
      <c r="M80">
        <v>28.4</v>
      </c>
    </row>
    <row r="81" spans="1:36">
      <c r="A81" t="s">
        <v>42</v>
      </c>
      <c r="B81" t="s">
        <v>6</v>
      </c>
      <c r="C81" t="s">
        <v>10</v>
      </c>
      <c r="D81">
        <v>2085</v>
      </c>
      <c r="E81">
        <v>18.928450000000002</v>
      </c>
      <c r="F81">
        <v>-97.828716999999997</v>
      </c>
      <c r="H81">
        <v>41.12</v>
      </c>
    </row>
    <row r="82" spans="1:36">
      <c r="A82" t="s">
        <v>43</v>
      </c>
      <c r="B82" t="s">
        <v>6</v>
      </c>
      <c r="C82" t="s">
        <v>10</v>
      </c>
      <c r="D82">
        <v>2140</v>
      </c>
      <c r="E82">
        <v>18.952532999999999</v>
      </c>
      <c r="F82">
        <v>-98.014183000000003</v>
      </c>
      <c r="H82">
        <v>17.23</v>
      </c>
    </row>
    <row r="83" spans="1:36">
      <c r="A83" t="s">
        <v>44</v>
      </c>
      <c r="B83" t="s">
        <v>6</v>
      </c>
      <c r="C83" t="s">
        <v>10</v>
      </c>
      <c r="D83">
        <v>2324</v>
      </c>
      <c r="E83">
        <v>19.062667000000001</v>
      </c>
      <c r="F83">
        <v>-97.933800000000005</v>
      </c>
      <c r="H83">
        <v>133.4</v>
      </c>
    </row>
    <row r="84" spans="1:36">
      <c r="A84" t="s">
        <v>45</v>
      </c>
      <c r="B84" t="s">
        <v>6</v>
      </c>
      <c r="C84" t="s">
        <v>8</v>
      </c>
      <c r="D84">
        <v>2235</v>
      </c>
      <c r="E84">
        <v>19.111989000000001</v>
      </c>
      <c r="F84">
        <v>-98.233569000000003</v>
      </c>
      <c r="M84">
        <v>3.12</v>
      </c>
    </row>
    <row r="85" spans="1:36">
      <c r="A85" t="s">
        <v>46</v>
      </c>
      <c r="B85" t="s">
        <v>6</v>
      </c>
      <c r="C85" t="s">
        <v>8</v>
      </c>
      <c r="D85">
        <v>2318</v>
      </c>
      <c r="E85">
        <v>19.155519000000002</v>
      </c>
      <c r="F85">
        <v>-98.265089000000003</v>
      </c>
      <c r="M85">
        <v>21.4</v>
      </c>
    </row>
    <row r="86" spans="1:36">
      <c r="A86" t="s">
        <v>47</v>
      </c>
      <c r="B86" t="s">
        <v>6</v>
      </c>
      <c r="C86" t="s">
        <v>8</v>
      </c>
      <c r="D86">
        <v>2238</v>
      </c>
      <c r="E86">
        <v>19.093869000000002</v>
      </c>
      <c r="F86">
        <v>-98.213689000000002</v>
      </c>
      <c r="M86">
        <v>27.5</v>
      </c>
      <c r="AJ86">
        <v>40</v>
      </c>
    </row>
    <row r="87" spans="1:36">
      <c r="A87" t="s">
        <v>48</v>
      </c>
      <c r="B87" t="s">
        <v>6</v>
      </c>
      <c r="C87" t="s">
        <v>8</v>
      </c>
      <c r="D87">
        <v>2236</v>
      </c>
      <c r="E87">
        <v>19.050122000000002</v>
      </c>
      <c r="F87">
        <v>-98.232819000000006</v>
      </c>
      <c r="M87">
        <v>47.24</v>
      </c>
    </row>
    <row r="88" spans="1:36">
      <c r="A88" t="s">
        <v>49</v>
      </c>
      <c r="B88" t="s">
        <v>6</v>
      </c>
      <c r="C88" t="s">
        <v>10</v>
      </c>
      <c r="D88">
        <v>2200</v>
      </c>
      <c r="E88">
        <v>19.033149999999999</v>
      </c>
      <c r="F88">
        <v>-97.754283000000001</v>
      </c>
      <c r="H88">
        <v>74.400000000000006</v>
      </c>
    </row>
    <row r="89" spans="1:36">
      <c r="A89" t="s">
        <v>50</v>
      </c>
      <c r="B89" t="s">
        <v>6</v>
      </c>
      <c r="C89" t="s">
        <v>10</v>
      </c>
      <c r="D89">
        <v>2240</v>
      </c>
      <c r="E89">
        <v>18.991866999999999</v>
      </c>
      <c r="F89">
        <v>-97.648700000000005</v>
      </c>
      <c r="H89">
        <v>56.6</v>
      </c>
    </row>
    <row r="90" spans="1:36">
      <c r="A90" t="s">
        <v>51</v>
      </c>
      <c r="B90" t="s">
        <v>6</v>
      </c>
      <c r="C90" t="s">
        <v>10</v>
      </c>
      <c r="D90">
        <v>2185</v>
      </c>
      <c r="E90">
        <v>18.992266999999998</v>
      </c>
      <c r="F90">
        <v>-97.686466999999993</v>
      </c>
      <c r="H90">
        <v>33.6</v>
      </c>
    </row>
    <row r="91" spans="1:36">
      <c r="A91" t="s">
        <v>52</v>
      </c>
      <c r="B91" t="s">
        <v>6</v>
      </c>
      <c r="C91" t="s">
        <v>8</v>
      </c>
      <c r="D91">
        <v>2238</v>
      </c>
      <c r="E91">
        <v>19.074089000000001</v>
      </c>
      <c r="F91">
        <v>-98.230039000000005</v>
      </c>
      <c r="M91">
        <v>22.52</v>
      </c>
    </row>
    <row r="92" spans="1:36">
      <c r="A92" t="s">
        <v>53</v>
      </c>
      <c r="B92" t="s">
        <v>6</v>
      </c>
      <c r="C92" t="s">
        <v>10</v>
      </c>
      <c r="D92">
        <v>2200</v>
      </c>
      <c r="E92">
        <v>19.006132999999998</v>
      </c>
      <c r="F92">
        <v>-97.683616999999998</v>
      </c>
      <c r="H92">
        <v>54.01</v>
      </c>
    </row>
    <row r="93" spans="1:36">
      <c r="A93" t="s">
        <v>54</v>
      </c>
      <c r="B93" t="s">
        <v>6</v>
      </c>
      <c r="C93" t="s">
        <v>8</v>
      </c>
      <c r="D93">
        <v>2260</v>
      </c>
      <c r="E93">
        <v>19.041157999999999</v>
      </c>
      <c r="F93">
        <v>-98.072108</v>
      </c>
      <c r="M93">
        <v>115.25</v>
      </c>
    </row>
    <row r="94" spans="1:36">
      <c r="A94" t="s">
        <v>55</v>
      </c>
      <c r="B94" t="s">
        <v>6</v>
      </c>
      <c r="C94" t="s">
        <v>8</v>
      </c>
      <c r="D94">
        <v>2268</v>
      </c>
      <c r="E94">
        <v>19.101769000000001</v>
      </c>
      <c r="F94">
        <v>-98.245011000000005</v>
      </c>
      <c r="M94">
        <v>22.03</v>
      </c>
    </row>
    <row r="95" spans="1:36">
      <c r="A95" t="s">
        <v>55</v>
      </c>
      <c r="B95" t="s">
        <v>6</v>
      </c>
      <c r="C95" t="s">
        <v>8</v>
      </c>
      <c r="D95">
        <v>2274</v>
      </c>
      <c r="E95">
        <v>19.08595</v>
      </c>
      <c r="F95">
        <v>-98.240618999999995</v>
      </c>
      <c r="M95">
        <v>25.7</v>
      </c>
    </row>
    <row r="96" spans="1:36">
      <c r="A96" t="s">
        <v>56</v>
      </c>
      <c r="B96" t="s">
        <v>6</v>
      </c>
      <c r="C96" t="s">
        <v>8</v>
      </c>
      <c r="D96">
        <v>2161</v>
      </c>
      <c r="E96">
        <v>19.042081</v>
      </c>
      <c r="F96">
        <v>-98.179902999999996</v>
      </c>
      <c r="V96">
        <v>95</v>
      </c>
      <c r="W96">
        <v>95.32</v>
      </c>
      <c r="X96">
        <v>93.71</v>
      </c>
      <c r="Y96">
        <v>93.66</v>
      </c>
      <c r="Z96">
        <v>95.45</v>
      </c>
      <c r="AA96">
        <v>93.08</v>
      </c>
      <c r="AB96">
        <v>92.59</v>
      </c>
      <c r="AC96">
        <v>92.16</v>
      </c>
      <c r="AD96">
        <v>92.4</v>
      </c>
      <c r="AE96">
        <v>88.22</v>
      </c>
      <c r="AF96">
        <v>93.04</v>
      </c>
      <c r="AG96">
        <v>93.55</v>
      </c>
      <c r="AH96">
        <v>94.81</v>
      </c>
      <c r="AI96">
        <v>96.51</v>
      </c>
      <c r="AJ96">
        <v>95.92</v>
      </c>
    </row>
    <row r="97" spans="1:36">
      <c r="A97" t="s">
        <v>57</v>
      </c>
      <c r="B97" t="s">
        <v>6</v>
      </c>
      <c r="C97" t="s">
        <v>8</v>
      </c>
      <c r="D97">
        <v>2242</v>
      </c>
      <c r="E97">
        <v>19.024678000000002</v>
      </c>
      <c r="F97">
        <v>-98.064239000000001</v>
      </c>
      <c r="M97">
        <v>83</v>
      </c>
    </row>
    <row r="98" spans="1:36">
      <c r="A98" t="s">
        <v>58</v>
      </c>
      <c r="B98" t="s">
        <v>6</v>
      </c>
      <c r="C98" t="s">
        <v>8</v>
      </c>
      <c r="D98">
        <v>2140</v>
      </c>
      <c r="E98">
        <v>19.019731</v>
      </c>
      <c r="F98">
        <v>-98.176738999999998</v>
      </c>
      <c r="V98">
        <v>78.13</v>
      </c>
      <c r="W98">
        <v>76.83</v>
      </c>
      <c r="X98">
        <v>78.61</v>
      </c>
      <c r="Y98">
        <v>76.16</v>
      </c>
      <c r="Z98">
        <v>74.900000000000006</v>
      </c>
      <c r="AA98">
        <v>73.790000000000006</v>
      </c>
      <c r="AB98">
        <v>74.13</v>
      </c>
      <c r="AC98">
        <v>73.59</v>
      </c>
      <c r="AD98">
        <v>73.7</v>
      </c>
      <c r="AE98">
        <v>73.790000000000006</v>
      </c>
      <c r="AF98">
        <v>73.260000000000005</v>
      </c>
      <c r="AG98">
        <v>73.430000000000007</v>
      </c>
      <c r="AH98">
        <v>72.989999999999995</v>
      </c>
      <c r="AI98">
        <v>73.42</v>
      </c>
      <c r="AJ98">
        <v>74.34</v>
      </c>
    </row>
    <row r="99" spans="1:36">
      <c r="A99" t="s">
        <v>59</v>
      </c>
      <c r="B99" t="s">
        <v>6</v>
      </c>
      <c r="C99" t="s">
        <v>8</v>
      </c>
      <c r="D99">
        <v>2461.48</v>
      </c>
      <c r="E99">
        <v>19.068293000000001</v>
      </c>
      <c r="F99">
        <v>-98.494747000000004</v>
      </c>
      <c r="AJ99">
        <v>99</v>
      </c>
    </row>
    <row r="100" spans="1:36">
      <c r="A100" t="s">
        <v>60</v>
      </c>
      <c r="B100" t="s">
        <v>6</v>
      </c>
      <c r="C100" t="s">
        <v>7</v>
      </c>
      <c r="D100">
        <v>1355.29</v>
      </c>
      <c r="E100">
        <v>18.647300000000001</v>
      </c>
      <c r="F100">
        <v>-98.516099999999994</v>
      </c>
      <c r="AJ100">
        <v>96</v>
      </c>
    </row>
    <row r="101" spans="1:36">
      <c r="A101" t="s">
        <v>61</v>
      </c>
      <c r="B101" t="s">
        <v>6</v>
      </c>
      <c r="C101" t="s">
        <v>8</v>
      </c>
      <c r="D101">
        <v>2221</v>
      </c>
      <c r="E101">
        <v>19.061889000000001</v>
      </c>
      <c r="F101">
        <v>-98.213131000000004</v>
      </c>
      <c r="M101">
        <v>45.45</v>
      </c>
    </row>
    <row r="102" spans="1:36">
      <c r="A102" t="s">
        <v>62</v>
      </c>
      <c r="B102" t="s">
        <v>6</v>
      </c>
      <c r="C102" t="s">
        <v>63</v>
      </c>
      <c r="D102">
        <v>2440</v>
      </c>
      <c r="E102">
        <v>19.612604000000001</v>
      </c>
      <c r="F102">
        <v>-97.684033999999997</v>
      </c>
      <c r="G102">
        <v>60.8</v>
      </c>
      <c r="H102">
        <v>61.85</v>
      </c>
      <c r="M102">
        <v>59.87</v>
      </c>
      <c r="S102">
        <v>61.1</v>
      </c>
      <c r="X102">
        <v>60.41</v>
      </c>
      <c r="AG102">
        <v>65</v>
      </c>
      <c r="AH102">
        <v>62.19</v>
      </c>
    </row>
    <row r="103" spans="1:36">
      <c r="A103" t="s">
        <v>64</v>
      </c>
      <c r="B103" t="s">
        <v>6</v>
      </c>
      <c r="C103" t="s">
        <v>63</v>
      </c>
      <c r="D103">
        <v>2421.9499999999998</v>
      </c>
      <c r="E103">
        <v>19.607296000000002</v>
      </c>
      <c r="F103">
        <v>-97.662567999999993</v>
      </c>
      <c r="G103">
        <v>72</v>
      </c>
      <c r="H103">
        <v>73.2</v>
      </c>
      <c r="K103">
        <v>76</v>
      </c>
      <c r="S103">
        <v>77.7</v>
      </c>
      <c r="X103">
        <v>75.75</v>
      </c>
      <c r="AG103">
        <v>82</v>
      </c>
    </row>
    <row r="104" spans="1:36">
      <c r="A104" t="s">
        <v>65</v>
      </c>
      <c r="B104" t="s">
        <v>6</v>
      </c>
      <c r="C104" t="s">
        <v>63</v>
      </c>
      <c r="D104">
        <v>2400.19</v>
      </c>
      <c r="E104">
        <v>19.606255999999998</v>
      </c>
      <c r="F104">
        <v>-97.638417000000004</v>
      </c>
      <c r="G104">
        <v>63</v>
      </c>
      <c r="M104">
        <v>72.430000000000007</v>
      </c>
      <c r="S104">
        <v>74.05</v>
      </c>
      <c r="X104">
        <v>69.7</v>
      </c>
      <c r="AG104">
        <v>78</v>
      </c>
    </row>
    <row r="105" spans="1:36">
      <c r="A105" t="s">
        <v>66</v>
      </c>
      <c r="B105" t="s">
        <v>6</v>
      </c>
      <c r="C105" t="s">
        <v>63</v>
      </c>
      <c r="D105">
        <v>2530.17</v>
      </c>
      <c r="E105">
        <v>19.593489999999999</v>
      </c>
      <c r="F105">
        <v>-97.502886000000004</v>
      </c>
      <c r="H105">
        <v>219</v>
      </c>
      <c r="K105">
        <v>220.28</v>
      </c>
      <c r="M105">
        <v>200.88</v>
      </c>
      <c r="S105">
        <v>207.4</v>
      </c>
      <c r="X105">
        <v>207.5</v>
      </c>
      <c r="AG105">
        <v>210</v>
      </c>
    </row>
    <row r="106" spans="1:36">
      <c r="A106" t="s">
        <v>67</v>
      </c>
      <c r="B106" t="s">
        <v>6</v>
      </c>
      <c r="C106" t="s">
        <v>63</v>
      </c>
      <c r="D106">
        <v>2516.0100000000002</v>
      </c>
      <c r="E106">
        <v>19.564261999999999</v>
      </c>
      <c r="F106">
        <v>-97.498428000000004</v>
      </c>
      <c r="G106">
        <v>197.82</v>
      </c>
      <c r="H106">
        <v>198.35</v>
      </c>
      <c r="K106">
        <v>199.46</v>
      </c>
      <c r="M106">
        <v>200.35</v>
      </c>
      <c r="S106">
        <v>205.4</v>
      </c>
      <c r="X106">
        <v>200</v>
      </c>
      <c r="AG106">
        <v>212</v>
      </c>
    </row>
    <row r="107" spans="1:36">
      <c r="A107" t="s">
        <v>68</v>
      </c>
      <c r="B107" t="s">
        <v>6</v>
      </c>
      <c r="C107" t="s">
        <v>63</v>
      </c>
      <c r="D107">
        <v>2397</v>
      </c>
      <c r="E107">
        <v>19.134634999999999</v>
      </c>
      <c r="F107">
        <v>-97.727806000000001</v>
      </c>
      <c r="AH107">
        <v>63.78</v>
      </c>
    </row>
    <row r="108" spans="1:36">
      <c r="A108" t="s">
        <v>69</v>
      </c>
      <c r="B108" t="s">
        <v>6</v>
      </c>
      <c r="C108" t="s">
        <v>63</v>
      </c>
      <c r="D108">
        <v>2416.3000000000002</v>
      </c>
      <c r="E108">
        <v>19.560161999999998</v>
      </c>
      <c r="F108">
        <v>-97.644828000000004</v>
      </c>
      <c r="G108">
        <v>76</v>
      </c>
      <c r="H108">
        <v>76</v>
      </c>
      <c r="K108">
        <v>76.75</v>
      </c>
      <c r="M108">
        <v>76.959999999999994</v>
      </c>
      <c r="S108">
        <v>78.89</v>
      </c>
      <c r="X108">
        <v>79.61</v>
      </c>
    </row>
    <row r="109" spans="1:36">
      <c r="A109" t="s">
        <v>70</v>
      </c>
      <c r="B109" t="s">
        <v>6</v>
      </c>
      <c r="C109" t="s">
        <v>63</v>
      </c>
      <c r="D109">
        <v>2390.4299999999998</v>
      </c>
      <c r="E109">
        <v>19.551839999999999</v>
      </c>
      <c r="F109">
        <v>-97.607907999999995</v>
      </c>
      <c r="G109">
        <v>60</v>
      </c>
      <c r="H109">
        <v>58.2</v>
      </c>
      <c r="K109">
        <v>58.8</v>
      </c>
      <c r="M109">
        <v>59.42</v>
      </c>
      <c r="S109">
        <v>61.76</v>
      </c>
      <c r="X109">
        <v>61.88</v>
      </c>
    </row>
    <row r="110" spans="1:36">
      <c r="A110" t="s">
        <v>71</v>
      </c>
      <c r="B110" t="s">
        <v>6</v>
      </c>
      <c r="C110" t="s">
        <v>63</v>
      </c>
      <c r="D110">
        <v>2392</v>
      </c>
      <c r="E110">
        <v>19.559258</v>
      </c>
      <c r="F110">
        <v>-97.619303000000002</v>
      </c>
      <c r="AH110">
        <v>77.709999999999994</v>
      </c>
    </row>
    <row r="111" spans="1:36">
      <c r="A111" t="s">
        <v>72</v>
      </c>
      <c r="B111" t="s">
        <v>6</v>
      </c>
      <c r="C111" t="s">
        <v>63</v>
      </c>
      <c r="D111">
        <v>2381.34</v>
      </c>
      <c r="E111">
        <v>19.536791000000001</v>
      </c>
      <c r="F111">
        <v>-97.548552000000001</v>
      </c>
      <c r="M111">
        <v>72.209999999999994</v>
      </c>
      <c r="S111">
        <v>74.23</v>
      </c>
      <c r="AH111">
        <v>76.510000000000005</v>
      </c>
    </row>
    <row r="112" spans="1:36">
      <c r="A112" t="s">
        <v>73</v>
      </c>
      <c r="B112" t="s">
        <v>6</v>
      </c>
      <c r="C112" t="s">
        <v>63</v>
      </c>
      <c r="D112">
        <v>2363.8200000000002</v>
      </c>
      <c r="E112">
        <v>19.517084000000001</v>
      </c>
      <c r="F112">
        <v>-97.607015000000004</v>
      </c>
      <c r="G112">
        <v>22.56</v>
      </c>
      <c r="K112">
        <v>23.7</v>
      </c>
      <c r="M112">
        <v>24.18</v>
      </c>
      <c r="S112">
        <v>25.15</v>
      </c>
      <c r="X112">
        <v>29.2</v>
      </c>
      <c r="AG112">
        <v>40</v>
      </c>
    </row>
    <row r="113" spans="1:34">
      <c r="A113" t="s">
        <v>74</v>
      </c>
      <c r="B113" t="s">
        <v>6</v>
      </c>
      <c r="C113" t="s">
        <v>63</v>
      </c>
      <c r="D113">
        <v>2407.66</v>
      </c>
      <c r="E113">
        <v>19.155438</v>
      </c>
      <c r="F113">
        <v>-97.520173999999997</v>
      </c>
      <c r="M113">
        <v>53.68</v>
      </c>
    </row>
    <row r="114" spans="1:34">
      <c r="A114" t="s">
        <v>75</v>
      </c>
      <c r="B114" t="s">
        <v>6</v>
      </c>
      <c r="C114" t="s">
        <v>63</v>
      </c>
      <c r="D114">
        <v>2374.0500000000002</v>
      </c>
      <c r="E114">
        <v>19.511733</v>
      </c>
      <c r="F114">
        <v>-97.664136999999997</v>
      </c>
      <c r="G114">
        <v>40</v>
      </c>
      <c r="H114">
        <v>42.45</v>
      </c>
      <c r="K114">
        <v>44</v>
      </c>
      <c r="M114">
        <v>44.87</v>
      </c>
      <c r="S114">
        <v>46.97</v>
      </c>
      <c r="X114">
        <v>47.21</v>
      </c>
      <c r="AG114">
        <v>49.63</v>
      </c>
      <c r="AH114">
        <v>52.41</v>
      </c>
    </row>
    <row r="115" spans="1:34">
      <c r="A115" t="s">
        <v>76</v>
      </c>
      <c r="B115" t="s">
        <v>6</v>
      </c>
      <c r="C115" t="s">
        <v>63</v>
      </c>
      <c r="D115">
        <v>2362.36</v>
      </c>
      <c r="E115">
        <v>19.509129999999999</v>
      </c>
      <c r="F115">
        <v>-97.539349000000001</v>
      </c>
      <c r="G115">
        <v>38</v>
      </c>
      <c r="H115">
        <v>38</v>
      </c>
      <c r="K115">
        <v>38.270000000000003</v>
      </c>
      <c r="M115">
        <v>38.700000000000003</v>
      </c>
      <c r="S115">
        <v>39.31</v>
      </c>
      <c r="X115">
        <v>40.090000000000003</v>
      </c>
      <c r="AG115">
        <v>60</v>
      </c>
      <c r="AH115">
        <v>59.63</v>
      </c>
    </row>
    <row r="116" spans="1:34">
      <c r="A116" t="s">
        <v>77</v>
      </c>
      <c r="B116" t="s">
        <v>6</v>
      </c>
      <c r="C116" t="s">
        <v>63</v>
      </c>
      <c r="D116">
        <v>2362.02</v>
      </c>
      <c r="E116">
        <v>19.504505999999999</v>
      </c>
      <c r="F116">
        <v>-97.613896999999994</v>
      </c>
      <c r="G116">
        <v>25</v>
      </c>
      <c r="K116">
        <v>17</v>
      </c>
      <c r="M116">
        <v>20.46</v>
      </c>
      <c r="S116">
        <v>21.62</v>
      </c>
      <c r="X116">
        <v>21.78</v>
      </c>
    </row>
    <row r="117" spans="1:34">
      <c r="A117" t="s">
        <v>78</v>
      </c>
      <c r="B117" t="s">
        <v>6</v>
      </c>
      <c r="C117" t="s">
        <v>63</v>
      </c>
      <c r="D117">
        <v>2346</v>
      </c>
      <c r="E117">
        <v>19.480668000000001</v>
      </c>
      <c r="F117">
        <v>-97.581908999999996</v>
      </c>
      <c r="M117">
        <v>12.73</v>
      </c>
      <c r="S117">
        <v>13.55</v>
      </c>
      <c r="X117">
        <v>13.7</v>
      </c>
      <c r="AH117">
        <v>20.010000000000002</v>
      </c>
    </row>
    <row r="118" spans="1:34">
      <c r="A118" t="s">
        <v>79</v>
      </c>
      <c r="B118" t="s">
        <v>6</v>
      </c>
      <c r="C118" t="s">
        <v>63</v>
      </c>
      <c r="D118">
        <v>2340</v>
      </c>
      <c r="E118">
        <v>19.489348</v>
      </c>
      <c r="F118">
        <v>-97.498605999999995</v>
      </c>
      <c r="H118">
        <v>10.8</v>
      </c>
      <c r="K118">
        <v>11.2</v>
      </c>
      <c r="M118">
        <v>11.2</v>
      </c>
      <c r="S118">
        <v>12.65</v>
      </c>
      <c r="X118">
        <v>12.75</v>
      </c>
    </row>
    <row r="119" spans="1:34">
      <c r="A119" t="s">
        <v>80</v>
      </c>
      <c r="B119" t="s">
        <v>6</v>
      </c>
      <c r="C119" t="s">
        <v>63</v>
      </c>
      <c r="D119">
        <v>2346.1999999999998</v>
      </c>
      <c r="E119">
        <v>19.483236000000002</v>
      </c>
      <c r="F119">
        <v>-97.606579999999994</v>
      </c>
      <c r="G119">
        <v>11.38</v>
      </c>
      <c r="H119">
        <v>12.4</v>
      </c>
      <c r="K119">
        <v>12.17</v>
      </c>
      <c r="M119">
        <v>12.35</v>
      </c>
      <c r="S119">
        <v>13.15</v>
      </c>
      <c r="X119">
        <v>16.100000000000001</v>
      </c>
      <c r="AG119">
        <v>18</v>
      </c>
      <c r="AH119">
        <v>19.3</v>
      </c>
    </row>
    <row r="120" spans="1:34">
      <c r="A120" t="s">
        <v>81</v>
      </c>
      <c r="B120" t="s">
        <v>6</v>
      </c>
      <c r="C120" t="s">
        <v>63</v>
      </c>
      <c r="D120">
        <v>2349</v>
      </c>
      <c r="E120">
        <v>19.491606000000001</v>
      </c>
      <c r="F120">
        <v>-97.609566999999998</v>
      </c>
      <c r="AH120">
        <v>21.8</v>
      </c>
    </row>
    <row r="121" spans="1:34">
      <c r="A121" t="s">
        <v>82</v>
      </c>
      <c r="B121" t="s">
        <v>6</v>
      </c>
      <c r="C121" t="s">
        <v>63</v>
      </c>
      <c r="D121">
        <v>2340</v>
      </c>
      <c r="E121">
        <v>19.482973999999999</v>
      </c>
      <c r="F121">
        <v>-97.432298000000003</v>
      </c>
      <c r="K121">
        <v>8.11</v>
      </c>
      <c r="M121">
        <v>8.67</v>
      </c>
      <c r="S121">
        <v>9.02</v>
      </c>
      <c r="X121">
        <v>22.4</v>
      </c>
      <c r="AG121">
        <v>30</v>
      </c>
      <c r="AH121">
        <v>10.87</v>
      </c>
    </row>
    <row r="122" spans="1:34">
      <c r="A122" t="s">
        <v>83</v>
      </c>
      <c r="B122" t="s">
        <v>6</v>
      </c>
      <c r="C122" t="s">
        <v>63</v>
      </c>
      <c r="D122">
        <v>2383.0300000000002</v>
      </c>
      <c r="E122">
        <v>19.481297000000001</v>
      </c>
      <c r="F122">
        <v>-97.681963999999994</v>
      </c>
      <c r="G122">
        <v>48</v>
      </c>
      <c r="H122">
        <v>52.3</v>
      </c>
      <c r="K122">
        <v>53.55</v>
      </c>
      <c r="M122">
        <v>54.2</v>
      </c>
      <c r="S122">
        <v>56.05</v>
      </c>
      <c r="X122">
        <v>56.15</v>
      </c>
    </row>
    <row r="123" spans="1:34">
      <c r="A123" t="s">
        <v>84</v>
      </c>
      <c r="B123" t="s">
        <v>6</v>
      </c>
      <c r="C123" t="s">
        <v>63</v>
      </c>
      <c r="D123">
        <v>2389</v>
      </c>
      <c r="E123">
        <v>19.4925</v>
      </c>
      <c r="F123">
        <v>-97.680555999999996</v>
      </c>
      <c r="AG123">
        <v>63.2</v>
      </c>
      <c r="AH123">
        <v>62</v>
      </c>
    </row>
    <row r="124" spans="1:34">
      <c r="A124" t="s">
        <v>85</v>
      </c>
      <c r="B124" t="s">
        <v>6</v>
      </c>
      <c r="C124" t="s">
        <v>63</v>
      </c>
      <c r="D124">
        <v>2380</v>
      </c>
      <c r="E124">
        <v>19.490068999999998</v>
      </c>
      <c r="F124">
        <v>-97.683942000000002</v>
      </c>
      <c r="AH124">
        <v>65.91</v>
      </c>
    </row>
    <row r="125" spans="1:34">
      <c r="A125" t="s">
        <v>86</v>
      </c>
      <c r="B125" t="s">
        <v>6</v>
      </c>
      <c r="C125" t="s">
        <v>63</v>
      </c>
      <c r="D125">
        <v>2344.17</v>
      </c>
      <c r="E125">
        <v>19.465527000000002</v>
      </c>
      <c r="F125">
        <v>-97.633966000000001</v>
      </c>
      <c r="G125">
        <v>11.92</v>
      </c>
      <c r="H125">
        <v>12</v>
      </c>
      <c r="K125">
        <v>12.35</v>
      </c>
      <c r="M125">
        <v>12.87</v>
      </c>
      <c r="S125">
        <v>13.44</v>
      </c>
      <c r="X125">
        <v>14.16</v>
      </c>
      <c r="AG125">
        <v>16</v>
      </c>
      <c r="AH125">
        <v>20.71</v>
      </c>
    </row>
    <row r="126" spans="1:34">
      <c r="A126" t="s">
        <v>87</v>
      </c>
      <c r="B126" t="s">
        <v>6</v>
      </c>
      <c r="C126" t="s">
        <v>63</v>
      </c>
      <c r="D126">
        <v>2340</v>
      </c>
      <c r="E126">
        <v>19.451871000000001</v>
      </c>
      <c r="F126">
        <v>-97.381748999999999</v>
      </c>
      <c r="G126">
        <v>5.5</v>
      </c>
      <c r="K126">
        <v>5.9</v>
      </c>
      <c r="M126">
        <v>10.47</v>
      </c>
      <c r="AG126">
        <v>54</v>
      </c>
      <c r="AH126">
        <v>29.2</v>
      </c>
    </row>
    <row r="127" spans="1:34">
      <c r="A127" t="s">
        <v>88</v>
      </c>
      <c r="B127" t="s">
        <v>6</v>
      </c>
      <c r="C127" t="s">
        <v>63</v>
      </c>
      <c r="D127">
        <v>2354.0500000000002</v>
      </c>
      <c r="E127">
        <v>19.453800999999999</v>
      </c>
      <c r="F127">
        <v>-97.576514000000003</v>
      </c>
      <c r="G127">
        <v>13</v>
      </c>
      <c r="H127">
        <v>13.4</v>
      </c>
      <c r="K127">
        <v>14.07</v>
      </c>
      <c r="M127">
        <v>15.31</v>
      </c>
      <c r="S127">
        <v>16.95</v>
      </c>
      <c r="X127">
        <v>18.149999999999999</v>
      </c>
      <c r="AG127">
        <v>19</v>
      </c>
    </row>
    <row r="128" spans="1:34">
      <c r="A128" t="s">
        <v>89</v>
      </c>
      <c r="B128" t="s">
        <v>6</v>
      </c>
      <c r="C128" t="s">
        <v>63</v>
      </c>
      <c r="D128">
        <v>2357.5500000000002</v>
      </c>
      <c r="E128">
        <v>19.447939000000002</v>
      </c>
      <c r="F128">
        <v>-97.667135999999999</v>
      </c>
      <c r="G128">
        <v>28</v>
      </c>
      <c r="K128">
        <v>37.549999999999997</v>
      </c>
      <c r="M128">
        <v>26.04</v>
      </c>
      <c r="S128">
        <v>27.33</v>
      </c>
      <c r="X128">
        <v>27.7</v>
      </c>
    </row>
    <row r="129" spans="1:34">
      <c r="A129" t="s">
        <v>90</v>
      </c>
      <c r="B129" t="s">
        <v>6</v>
      </c>
      <c r="C129" t="s">
        <v>63</v>
      </c>
      <c r="D129">
        <v>2369</v>
      </c>
      <c r="E129">
        <v>19.4925</v>
      </c>
      <c r="F129">
        <v>-97.667221999999995</v>
      </c>
      <c r="AG129">
        <v>34.020000000000003</v>
      </c>
      <c r="AH129">
        <v>34.700000000000003</v>
      </c>
    </row>
    <row r="130" spans="1:34">
      <c r="A130" t="s">
        <v>91</v>
      </c>
      <c r="B130" t="s">
        <v>6</v>
      </c>
      <c r="C130" t="s">
        <v>63</v>
      </c>
      <c r="D130">
        <v>2340</v>
      </c>
      <c r="E130">
        <v>19.437453000000001</v>
      </c>
      <c r="F130">
        <v>-97.554389</v>
      </c>
      <c r="H130">
        <v>2.4</v>
      </c>
      <c r="K130">
        <v>2.94</v>
      </c>
      <c r="M130">
        <v>4.1900000000000004</v>
      </c>
      <c r="S130">
        <v>5.0999999999999996</v>
      </c>
      <c r="X130">
        <v>4.55</v>
      </c>
      <c r="AG130">
        <v>15</v>
      </c>
      <c r="AH130">
        <v>7.2</v>
      </c>
    </row>
    <row r="131" spans="1:34">
      <c r="A131" t="s">
        <v>92</v>
      </c>
      <c r="B131" t="s">
        <v>6</v>
      </c>
      <c r="C131" t="s">
        <v>63</v>
      </c>
      <c r="D131">
        <v>2340</v>
      </c>
      <c r="E131">
        <v>19.444935999999998</v>
      </c>
      <c r="F131">
        <v>-97.385296999999994</v>
      </c>
      <c r="G131">
        <v>8.52</v>
      </c>
      <c r="H131">
        <v>8.5399999999999991</v>
      </c>
      <c r="K131">
        <v>7.74</v>
      </c>
      <c r="M131">
        <v>8.27</v>
      </c>
      <c r="S131">
        <v>8.57</v>
      </c>
      <c r="X131">
        <v>8.0500000000000007</v>
      </c>
      <c r="AG131">
        <v>9</v>
      </c>
      <c r="AH131">
        <v>7.82</v>
      </c>
    </row>
    <row r="132" spans="1:34">
      <c r="A132" t="s">
        <v>93</v>
      </c>
      <c r="B132" t="s">
        <v>6</v>
      </c>
      <c r="C132" t="s">
        <v>63</v>
      </c>
      <c r="D132">
        <v>2340</v>
      </c>
      <c r="E132">
        <v>19.432013000000001</v>
      </c>
      <c r="F132">
        <v>-97.4251</v>
      </c>
      <c r="G132">
        <v>7.49</v>
      </c>
      <c r="H132">
        <v>8.61</v>
      </c>
      <c r="K132">
        <v>8.65</v>
      </c>
      <c r="M132">
        <v>8.9700000000000006</v>
      </c>
      <c r="S132">
        <v>9.4499999999999993</v>
      </c>
      <c r="X132">
        <v>7.9</v>
      </c>
      <c r="AH132">
        <v>6.74</v>
      </c>
    </row>
    <row r="133" spans="1:34">
      <c r="A133" t="s">
        <v>94</v>
      </c>
      <c r="B133" t="s">
        <v>6</v>
      </c>
      <c r="C133" t="s">
        <v>63</v>
      </c>
      <c r="D133">
        <v>2340</v>
      </c>
      <c r="E133">
        <v>19.433102000000002</v>
      </c>
      <c r="F133">
        <v>-97.489329999999995</v>
      </c>
      <c r="G133">
        <v>1.5</v>
      </c>
      <c r="H133">
        <v>2.15</v>
      </c>
      <c r="K133">
        <v>2.63</v>
      </c>
      <c r="M133">
        <v>3.14</v>
      </c>
      <c r="S133">
        <v>3.88</v>
      </c>
      <c r="AH133">
        <v>3.15</v>
      </c>
    </row>
    <row r="134" spans="1:34">
      <c r="A134" t="s">
        <v>95</v>
      </c>
      <c r="B134" t="s">
        <v>6</v>
      </c>
      <c r="C134" t="s">
        <v>63</v>
      </c>
      <c r="D134">
        <v>2340</v>
      </c>
      <c r="E134">
        <v>19.422339999999998</v>
      </c>
      <c r="F134">
        <v>-97.617367000000002</v>
      </c>
      <c r="G134">
        <v>9</v>
      </c>
      <c r="H134">
        <v>8.7799999999999994</v>
      </c>
      <c r="K134">
        <v>8.8000000000000007</v>
      </c>
      <c r="M134">
        <v>6.25</v>
      </c>
      <c r="S134">
        <v>6.9</v>
      </c>
      <c r="X134">
        <v>6.9</v>
      </c>
      <c r="AG134">
        <v>21</v>
      </c>
    </row>
    <row r="135" spans="1:34">
      <c r="A135" t="s">
        <v>96</v>
      </c>
      <c r="B135" t="s">
        <v>6</v>
      </c>
      <c r="C135" t="s">
        <v>63</v>
      </c>
      <c r="D135">
        <v>2341</v>
      </c>
      <c r="E135">
        <v>19.429583000000001</v>
      </c>
      <c r="F135">
        <v>-97.619906</v>
      </c>
      <c r="AH135">
        <v>12.73</v>
      </c>
    </row>
    <row r="136" spans="1:34">
      <c r="A136" t="s">
        <v>97</v>
      </c>
      <c r="B136" t="s">
        <v>6</v>
      </c>
      <c r="C136" t="s">
        <v>63</v>
      </c>
      <c r="D136">
        <v>2352.0500000000002</v>
      </c>
      <c r="E136">
        <v>19.415951</v>
      </c>
      <c r="F136">
        <v>-97.640009000000006</v>
      </c>
      <c r="G136">
        <v>21.68</v>
      </c>
      <c r="H136">
        <v>21.96</v>
      </c>
      <c r="K136">
        <v>22.38</v>
      </c>
      <c r="M136">
        <v>22.82</v>
      </c>
      <c r="S136">
        <v>24.05</v>
      </c>
      <c r="X136">
        <v>26.4</v>
      </c>
      <c r="AG136">
        <v>33.1</v>
      </c>
      <c r="AH136">
        <v>24.11</v>
      </c>
    </row>
    <row r="137" spans="1:34">
      <c r="A137" t="s">
        <v>98</v>
      </c>
      <c r="B137" t="s">
        <v>6</v>
      </c>
      <c r="C137" t="s">
        <v>63</v>
      </c>
      <c r="D137">
        <v>2357.6999999999998</v>
      </c>
      <c r="E137">
        <v>19.405000000000001</v>
      </c>
      <c r="F137">
        <v>-97.630273000000003</v>
      </c>
      <c r="AG137">
        <v>13.8</v>
      </c>
      <c r="AH137">
        <v>13.85</v>
      </c>
    </row>
    <row r="138" spans="1:34">
      <c r="A138" t="s">
        <v>99</v>
      </c>
      <c r="B138" t="s">
        <v>6</v>
      </c>
      <c r="C138" t="s">
        <v>63</v>
      </c>
      <c r="D138">
        <v>2352</v>
      </c>
      <c r="E138">
        <v>19.391718999999998</v>
      </c>
      <c r="F138">
        <v>-97.621706000000003</v>
      </c>
      <c r="AH138">
        <v>11.41</v>
      </c>
    </row>
    <row r="139" spans="1:34">
      <c r="A139" t="s">
        <v>100</v>
      </c>
      <c r="B139" t="s">
        <v>6</v>
      </c>
      <c r="C139" t="s">
        <v>63</v>
      </c>
      <c r="D139">
        <v>2345.2399999999998</v>
      </c>
      <c r="E139">
        <v>19.399363999999998</v>
      </c>
      <c r="F139">
        <v>-97.414551000000003</v>
      </c>
      <c r="G139">
        <v>28.23</v>
      </c>
      <c r="H139">
        <v>28.32</v>
      </c>
      <c r="K139">
        <v>27.05</v>
      </c>
      <c r="M139">
        <v>26.77</v>
      </c>
      <c r="S139">
        <v>26.97</v>
      </c>
      <c r="X139">
        <v>27.15</v>
      </c>
      <c r="AG139">
        <v>28</v>
      </c>
      <c r="AH139">
        <v>27.5</v>
      </c>
    </row>
    <row r="140" spans="1:34">
      <c r="A140" t="s">
        <v>101</v>
      </c>
      <c r="B140" t="s">
        <v>6</v>
      </c>
      <c r="C140" t="s">
        <v>63</v>
      </c>
      <c r="D140">
        <v>2349.83</v>
      </c>
      <c r="E140">
        <v>19.392606000000001</v>
      </c>
      <c r="F140">
        <v>-97.578789</v>
      </c>
      <c r="K140">
        <v>6.27</v>
      </c>
      <c r="M140">
        <v>6.3</v>
      </c>
      <c r="S140">
        <v>6.45</v>
      </c>
      <c r="X140">
        <v>5.7</v>
      </c>
      <c r="AG140">
        <v>4.13</v>
      </c>
      <c r="AH140">
        <v>7.31</v>
      </c>
    </row>
    <row r="141" spans="1:34">
      <c r="A141" t="s">
        <v>102</v>
      </c>
      <c r="B141" t="s">
        <v>6</v>
      </c>
      <c r="C141" t="s">
        <v>63</v>
      </c>
      <c r="D141">
        <v>2340</v>
      </c>
      <c r="E141">
        <v>19.391442999999999</v>
      </c>
      <c r="F141">
        <v>-97.376238999999998</v>
      </c>
      <c r="K141">
        <v>10.199999999999999</v>
      </c>
      <c r="M141">
        <v>10.3</v>
      </c>
      <c r="S141">
        <v>11.13</v>
      </c>
      <c r="X141">
        <v>12.2</v>
      </c>
      <c r="AH141">
        <v>16.690000000000001</v>
      </c>
    </row>
    <row r="142" spans="1:34">
      <c r="A142" t="s">
        <v>103</v>
      </c>
      <c r="B142" t="s">
        <v>6</v>
      </c>
      <c r="C142" t="s">
        <v>63</v>
      </c>
      <c r="D142">
        <v>2356.6</v>
      </c>
      <c r="E142">
        <v>19.375247000000002</v>
      </c>
      <c r="F142">
        <v>-97.563592999999997</v>
      </c>
      <c r="G142">
        <v>10.91</v>
      </c>
      <c r="H142">
        <v>10.85</v>
      </c>
      <c r="K142">
        <v>10.96</v>
      </c>
      <c r="M142">
        <v>10.86</v>
      </c>
      <c r="S142">
        <v>10.97</v>
      </c>
      <c r="X142">
        <v>10.73</v>
      </c>
      <c r="AG142">
        <v>10.1</v>
      </c>
    </row>
    <row r="143" spans="1:34">
      <c r="A143" t="s">
        <v>104</v>
      </c>
      <c r="B143" t="s">
        <v>6</v>
      </c>
      <c r="C143" t="s">
        <v>63</v>
      </c>
      <c r="D143">
        <v>2343</v>
      </c>
      <c r="E143">
        <v>19.366783999999999</v>
      </c>
      <c r="F143">
        <v>-97.578557000000004</v>
      </c>
      <c r="AH143">
        <v>2.34</v>
      </c>
    </row>
    <row r="144" spans="1:34">
      <c r="A144" t="s">
        <v>105</v>
      </c>
      <c r="B144" t="s">
        <v>6</v>
      </c>
      <c r="C144" t="s">
        <v>63</v>
      </c>
      <c r="D144">
        <v>2420</v>
      </c>
      <c r="E144">
        <v>19.383251000000001</v>
      </c>
      <c r="F144">
        <v>-97.301331000000005</v>
      </c>
      <c r="G144">
        <v>140</v>
      </c>
      <c r="H144">
        <v>94.6</v>
      </c>
      <c r="K144">
        <v>95.24</v>
      </c>
      <c r="M144">
        <v>96.13</v>
      </c>
    </row>
    <row r="145" spans="1:34">
      <c r="A145" t="s">
        <v>106</v>
      </c>
      <c r="B145" t="s">
        <v>6</v>
      </c>
      <c r="C145" t="s">
        <v>63</v>
      </c>
      <c r="D145">
        <v>2355.5700000000002</v>
      </c>
      <c r="E145">
        <v>19.362169999999999</v>
      </c>
      <c r="F145">
        <v>-97.626318999999995</v>
      </c>
      <c r="G145">
        <v>5.17</v>
      </c>
      <c r="H145">
        <v>5.51</v>
      </c>
      <c r="K145">
        <v>6</v>
      </c>
      <c r="M145">
        <v>8.34</v>
      </c>
      <c r="S145">
        <v>8.5</v>
      </c>
      <c r="AG145">
        <v>6.14</v>
      </c>
      <c r="AH145">
        <v>7.53</v>
      </c>
    </row>
    <row r="146" spans="1:34">
      <c r="A146" t="s">
        <v>107</v>
      </c>
      <c r="B146" t="s">
        <v>6</v>
      </c>
      <c r="C146" t="s">
        <v>63</v>
      </c>
      <c r="D146">
        <v>2400</v>
      </c>
      <c r="E146">
        <v>19.352485000000001</v>
      </c>
      <c r="F146">
        <v>-97.446631999999994</v>
      </c>
      <c r="G146">
        <v>48.71</v>
      </c>
      <c r="H146">
        <v>50</v>
      </c>
      <c r="K146">
        <v>49.94</v>
      </c>
      <c r="M146">
        <v>50.13</v>
      </c>
      <c r="S146">
        <v>52.65</v>
      </c>
      <c r="X146">
        <v>53.41</v>
      </c>
      <c r="AH146">
        <v>60</v>
      </c>
    </row>
    <row r="147" spans="1:34">
      <c r="A147" t="s">
        <v>108</v>
      </c>
      <c r="B147" t="s">
        <v>6</v>
      </c>
      <c r="C147" t="s">
        <v>63</v>
      </c>
      <c r="D147">
        <v>2411.94</v>
      </c>
      <c r="E147">
        <v>19.346067999999999</v>
      </c>
      <c r="F147">
        <v>-97.324819000000005</v>
      </c>
      <c r="H147">
        <v>73.900000000000006</v>
      </c>
      <c r="K147">
        <v>74</v>
      </c>
      <c r="M147">
        <v>74.069999999999993</v>
      </c>
      <c r="S147">
        <v>75.55</v>
      </c>
      <c r="X147">
        <v>77.2</v>
      </c>
      <c r="AG147">
        <v>90</v>
      </c>
      <c r="AH147">
        <v>79.8</v>
      </c>
    </row>
    <row r="148" spans="1:34">
      <c r="A148" t="s">
        <v>109</v>
      </c>
      <c r="B148" t="s">
        <v>6</v>
      </c>
      <c r="C148" t="s">
        <v>63</v>
      </c>
      <c r="D148">
        <v>2358.56</v>
      </c>
      <c r="E148">
        <v>19.331042</v>
      </c>
      <c r="F148">
        <v>-97.562884999999994</v>
      </c>
      <c r="G148">
        <v>3.4</v>
      </c>
      <c r="H148">
        <v>3.4</v>
      </c>
      <c r="K148">
        <v>3.39</v>
      </c>
      <c r="M148">
        <v>3.41</v>
      </c>
      <c r="S148">
        <v>3.65</v>
      </c>
      <c r="X148">
        <v>3.4</v>
      </c>
      <c r="AG148">
        <v>3.63</v>
      </c>
    </row>
    <row r="149" spans="1:34">
      <c r="A149" t="s">
        <v>110</v>
      </c>
      <c r="B149" t="s">
        <v>6</v>
      </c>
      <c r="C149" t="s">
        <v>63</v>
      </c>
      <c r="D149">
        <v>2380</v>
      </c>
      <c r="E149">
        <v>19.331655999999999</v>
      </c>
      <c r="F149">
        <v>-97.512085999999996</v>
      </c>
      <c r="G149">
        <v>33.35</v>
      </c>
      <c r="H149">
        <v>33.200000000000003</v>
      </c>
      <c r="K149">
        <v>33.26</v>
      </c>
      <c r="M149">
        <v>34.119999999999997</v>
      </c>
      <c r="S149">
        <v>35.340000000000003</v>
      </c>
      <c r="AG149">
        <v>57</v>
      </c>
      <c r="AH149">
        <v>36.26</v>
      </c>
    </row>
    <row r="150" spans="1:34">
      <c r="A150" t="s">
        <v>111</v>
      </c>
      <c r="B150" t="s">
        <v>6</v>
      </c>
      <c r="C150" t="s">
        <v>63</v>
      </c>
      <c r="D150">
        <v>2418.36</v>
      </c>
      <c r="E150">
        <v>19.325839999999999</v>
      </c>
      <c r="F150">
        <v>-97.497089000000003</v>
      </c>
      <c r="G150">
        <v>54.5</v>
      </c>
      <c r="H150">
        <v>53.94</v>
      </c>
      <c r="K150">
        <v>53.94</v>
      </c>
      <c r="M150">
        <v>38.450000000000003</v>
      </c>
      <c r="S150">
        <v>41.4</v>
      </c>
      <c r="AG150">
        <v>47.3</v>
      </c>
    </row>
    <row r="151" spans="1:34">
      <c r="A151" t="s">
        <v>112</v>
      </c>
      <c r="B151" t="s">
        <v>6</v>
      </c>
      <c r="C151" t="s">
        <v>63</v>
      </c>
      <c r="D151">
        <v>2353.91</v>
      </c>
      <c r="E151">
        <v>19.334375999999999</v>
      </c>
      <c r="F151">
        <v>-97.392003000000003</v>
      </c>
      <c r="G151">
        <v>9.1999999999999993</v>
      </c>
      <c r="H151">
        <v>9.48</v>
      </c>
      <c r="K151">
        <v>10.02</v>
      </c>
      <c r="M151">
        <v>10.6</v>
      </c>
      <c r="S151">
        <v>11.5</v>
      </c>
      <c r="X151">
        <v>12.15</v>
      </c>
      <c r="AG151">
        <v>26</v>
      </c>
    </row>
    <row r="152" spans="1:34">
      <c r="A152" t="s">
        <v>113</v>
      </c>
      <c r="B152" t="s">
        <v>6</v>
      </c>
      <c r="C152" t="s">
        <v>63</v>
      </c>
      <c r="D152">
        <v>2382</v>
      </c>
      <c r="E152">
        <v>19.318670000000001</v>
      </c>
      <c r="F152">
        <v>-97.397508999999999</v>
      </c>
      <c r="AH152">
        <v>25.4</v>
      </c>
    </row>
    <row r="153" spans="1:34">
      <c r="A153" t="s">
        <v>114</v>
      </c>
      <c r="B153" t="s">
        <v>6</v>
      </c>
      <c r="C153" t="s">
        <v>63</v>
      </c>
      <c r="D153">
        <v>2371.92</v>
      </c>
      <c r="E153">
        <v>19.339258999999998</v>
      </c>
      <c r="F153">
        <v>-97.346768999999995</v>
      </c>
      <c r="G153">
        <v>26.51</v>
      </c>
      <c r="H153">
        <v>26.85</v>
      </c>
      <c r="K153">
        <v>27.73</v>
      </c>
      <c r="M153">
        <v>28.34</v>
      </c>
      <c r="S153">
        <v>29.8</v>
      </c>
      <c r="X153">
        <v>30.7</v>
      </c>
      <c r="AG153">
        <v>36</v>
      </c>
      <c r="AH153">
        <v>34.130000000000003</v>
      </c>
    </row>
    <row r="154" spans="1:34">
      <c r="A154" t="s">
        <v>115</v>
      </c>
      <c r="B154" t="s">
        <v>6</v>
      </c>
      <c r="C154" t="s">
        <v>63</v>
      </c>
      <c r="D154">
        <v>2358.19</v>
      </c>
      <c r="E154">
        <v>19.315376000000001</v>
      </c>
      <c r="F154">
        <v>-97.632344000000003</v>
      </c>
      <c r="H154">
        <v>0.25</v>
      </c>
      <c r="K154">
        <v>0.25</v>
      </c>
      <c r="M154">
        <v>0.25</v>
      </c>
    </row>
    <row r="155" spans="1:34">
      <c r="A155" t="s">
        <v>116</v>
      </c>
      <c r="B155" t="s">
        <v>6</v>
      </c>
      <c r="C155" t="s">
        <v>63</v>
      </c>
      <c r="D155">
        <v>2398.8000000000002</v>
      </c>
      <c r="E155">
        <v>19.309258</v>
      </c>
      <c r="F155">
        <v>-97.432311999999996</v>
      </c>
      <c r="G155">
        <v>55.13</v>
      </c>
      <c r="H155">
        <v>56</v>
      </c>
      <c r="K155">
        <v>55.7</v>
      </c>
      <c r="M155">
        <v>56.52</v>
      </c>
      <c r="S155">
        <v>57.4</v>
      </c>
      <c r="X155">
        <v>59.13</v>
      </c>
    </row>
    <row r="156" spans="1:34">
      <c r="A156" t="s">
        <v>117</v>
      </c>
      <c r="B156" t="s">
        <v>6</v>
      </c>
      <c r="C156" t="s">
        <v>63</v>
      </c>
      <c r="D156">
        <v>2410.96</v>
      </c>
      <c r="E156">
        <v>19.294822</v>
      </c>
      <c r="F156">
        <v>-97.817538999999996</v>
      </c>
      <c r="G156">
        <v>55.21</v>
      </c>
      <c r="H156">
        <v>55.35</v>
      </c>
      <c r="K156">
        <v>56.04</v>
      </c>
      <c r="M156">
        <v>60.37</v>
      </c>
    </row>
    <row r="157" spans="1:34">
      <c r="A157" t="s">
        <v>118</v>
      </c>
      <c r="B157" t="s">
        <v>6</v>
      </c>
      <c r="C157" t="s">
        <v>63</v>
      </c>
      <c r="D157">
        <v>2418.41</v>
      </c>
      <c r="E157">
        <v>19.308112000000001</v>
      </c>
      <c r="F157">
        <v>-97.502824000000004</v>
      </c>
      <c r="H157">
        <v>34</v>
      </c>
      <c r="K157">
        <v>56.91</v>
      </c>
      <c r="M157">
        <v>58.36</v>
      </c>
      <c r="AH157">
        <v>60.9</v>
      </c>
    </row>
    <row r="158" spans="1:34">
      <c r="A158" t="s">
        <v>119</v>
      </c>
      <c r="B158" t="s">
        <v>6</v>
      </c>
      <c r="C158" t="s">
        <v>63</v>
      </c>
      <c r="D158">
        <v>2390.59</v>
      </c>
      <c r="E158">
        <v>19.298497000000001</v>
      </c>
      <c r="F158">
        <v>-97.365279000000001</v>
      </c>
      <c r="G158">
        <v>41.32</v>
      </c>
      <c r="K158">
        <v>43.1</v>
      </c>
      <c r="M158">
        <v>44</v>
      </c>
      <c r="AH158">
        <v>52.65</v>
      </c>
    </row>
    <row r="159" spans="1:34">
      <c r="A159" t="s">
        <v>120</v>
      </c>
      <c r="B159" t="s">
        <v>6</v>
      </c>
      <c r="C159" t="s">
        <v>63</v>
      </c>
      <c r="D159">
        <v>2350</v>
      </c>
      <c r="E159">
        <v>19.281592</v>
      </c>
      <c r="F159">
        <v>-97.690173000000001</v>
      </c>
      <c r="G159">
        <v>0.88</v>
      </c>
      <c r="K159">
        <v>0.75</v>
      </c>
      <c r="M159">
        <v>1.44</v>
      </c>
      <c r="S159">
        <v>1.6</v>
      </c>
      <c r="X159">
        <v>2.0099999999999998</v>
      </c>
      <c r="AG159">
        <v>2</v>
      </c>
    </row>
    <row r="160" spans="1:34">
      <c r="A160" t="s">
        <v>121</v>
      </c>
      <c r="B160" t="s">
        <v>6</v>
      </c>
      <c r="C160" t="s">
        <v>63</v>
      </c>
      <c r="D160">
        <v>2356.59</v>
      </c>
      <c r="E160">
        <v>19.281341000000001</v>
      </c>
      <c r="F160">
        <v>-97.671638999999999</v>
      </c>
      <c r="K160">
        <v>57.57</v>
      </c>
      <c r="M160">
        <v>62.27</v>
      </c>
    </row>
    <row r="161" spans="1:34">
      <c r="A161" t="s">
        <v>122</v>
      </c>
      <c r="B161" t="s">
        <v>6</v>
      </c>
      <c r="C161" t="s">
        <v>63</v>
      </c>
      <c r="D161">
        <v>2358</v>
      </c>
      <c r="E161">
        <v>19.315078</v>
      </c>
      <c r="F161">
        <v>-97.632356000000001</v>
      </c>
      <c r="M161">
        <v>4.92</v>
      </c>
      <c r="S161">
        <v>5.35</v>
      </c>
    </row>
    <row r="162" spans="1:34">
      <c r="A162" t="s">
        <v>123</v>
      </c>
      <c r="B162" t="s">
        <v>6</v>
      </c>
      <c r="C162" t="s">
        <v>63</v>
      </c>
      <c r="D162">
        <v>2450.73</v>
      </c>
      <c r="E162">
        <v>19.280968999999999</v>
      </c>
      <c r="F162">
        <v>-97.355029000000002</v>
      </c>
      <c r="G162">
        <v>90</v>
      </c>
      <c r="H162">
        <v>93.7</v>
      </c>
      <c r="K162">
        <v>108.58</v>
      </c>
      <c r="M162">
        <v>110.7</v>
      </c>
      <c r="AH162">
        <v>112.6</v>
      </c>
    </row>
    <row r="163" spans="1:34">
      <c r="A163" t="s">
        <v>124</v>
      </c>
      <c r="B163" t="s">
        <v>6</v>
      </c>
      <c r="C163" t="s">
        <v>63</v>
      </c>
      <c r="D163">
        <v>2355.5500000000002</v>
      </c>
      <c r="E163">
        <v>19.269428999999999</v>
      </c>
      <c r="F163">
        <v>-97.684989000000002</v>
      </c>
      <c r="G163">
        <v>0.33</v>
      </c>
      <c r="H163">
        <v>0.5</v>
      </c>
      <c r="K163">
        <v>2.1</v>
      </c>
      <c r="M163">
        <v>2.04</v>
      </c>
      <c r="S163">
        <v>2.56</v>
      </c>
      <c r="X163">
        <v>1.1499999999999999</v>
      </c>
    </row>
    <row r="164" spans="1:34">
      <c r="A164" t="s">
        <v>125</v>
      </c>
      <c r="B164" t="s">
        <v>6</v>
      </c>
      <c r="C164" t="s">
        <v>63</v>
      </c>
      <c r="D164">
        <v>2356.65</v>
      </c>
      <c r="E164">
        <v>19.264112000000001</v>
      </c>
      <c r="F164">
        <v>-97.540307999999996</v>
      </c>
      <c r="G164">
        <v>8.57</v>
      </c>
      <c r="H164">
        <v>8.6999999999999993</v>
      </c>
      <c r="K164">
        <v>9.65</v>
      </c>
      <c r="M164">
        <v>10.84</v>
      </c>
      <c r="S164">
        <v>12.25</v>
      </c>
      <c r="X164">
        <v>13.18</v>
      </c>
      <c r="AG164">
        <v>30</v>
      </c>
      <c r="AH164">
        <v>23.48</v>
      </c>
    </row>
    <row r="165" spans="1:34">
      <c r="A165" t="s">
        <v>126</v>
      </c>
      <c r="B165" t="s">
        <v>6</v>
      </c>
      <c r="C165" t="s">
        <v>63</v>
      </c>
      <c r="D165">
        <v>2350.21</v>
      </c>
      <c r="E165">
        <v>19.265073000000001</v>
      </c>
      <c r="F165">
        <v>-97.575873999999999</v>
      </c>
      <c r="G165">
        <v>2.91</v>
      </c>
      <c r="H165">
        <v>3.15</v>
      </c>
      <c r="K165">
        <v>3.32</v>
      </c>
      <c r="M165">
        <v>4.0999999999999996</v>
      </c>
      <c r="S165">
        <v>5.05</v>
      </c>
      <c r="X165">
        <v>5.0999999999999996</v>
      </c>
      <c r="AG165">
        <v>15</v>
      </c>
      <c r="AH165">
        <v>14.25</v>
      </c>
    </row>
    <row r="166" spans="1:34">
      <c r="A166" t="s">
        <v>127</v>
      </c>
      <c r="B166" t="s">
        <v>6</v>
      </c>
      <c r="C166" t="s">
        <v>63</v>
      </c>
      <c r="D166">
        <v>2360</v>
      </c>
      <c r="E166">
        <v>19.252521000000002</v>
      </c>
      <c r="F166">
        <v>-97.759664999999998</v>
      </c>
      <c r="G166">
        <v>6.3</v>
      </c>
      <c r="K166">
        <v>6.8</v>
      </c>
      <c r="M166">
        <v>6.41</v>
      </c>
      <c r="S166">
        <v>6.55</v>
      </c>
      <c r="X166">
        <v>7</v>
      </c>
      <c r="AG166">
        <v>7</v>
      </c>
    </row>
    <row r="167" spans="1:34">
      <c r="A167" t="s">
        <v>128</v>
      </c>
      <c r="B167" t="s">
        <v>6</v>
      </c>
      <c r="C167" t="s">
        <v>63</v>
      </c>
      <c r="D167">
        <v>2444.52</v>
      </c>
      <c r="E167">
        <v>19.247368000000002</v>
      </c>
      <c r="F167">
        <v>-97.418356000000003</v>
      </c>
      <c r="G167">
        <v>97.03</v>
      </c>
      <c r="H167">
        <v>97.34</v>
      </c>
      <c r="K167">
        <v>97.45</v>
      </c>
      <c r="M167">
        <v>97.85</v>
      </c>
      <c r="S167">
        <v>100.3</v>
      </c>
      <c r="X167">
        <v>100.55</v>
      </c>
    </row>
    <row r="168" spans="1:34">
      <c r="A168" t="s">
        <v>129</v>
      </c>
      <c r="B168" t="s">
        <v>6</v>
      </c>
      <c r="C168" t="s">
        <v>63</v>
      </c>
      <c r="D168">
        <v>2393.52</v>
      </c>
      <c r="E168">
        <v>19.238661</v>
      </c>
      <c r="F168">
        <v>-97.803309999999996</v>
      </c>
      <c r="G168">
        <v>40</v>
      </c>
      <c r="H168">
        <v>41.7</v>
      </c>
      <c r="K168">
        <v>41.86</v>
      </c>
      <c r="M168">
        <v>42.65</v>
      </c>
      <c r="S168">
        <v>43.67</v>
      </c>
      <c r="AG168">
        <v>47</v>
      </c>
    </row>
    <row r="169" spans="1:34">
      <c r="A169" t="s">
        <v>130</v>
      </c>
      <c r="B169" t="s">
        <v>6</v>
      </c>
      <c r="C169" t="s">
        <v>63</v>
      </c>
      <c r="D169">
        <v>2354.5</v>
      </c>
      <c r="E169">
        <v>19.227522</v>
      </c>
      <c r="F169">
        <v>-97.723268000000004</v>
      </c>
      <c r="G169">
        <v>1.62</v>
      </c>
      <c r="M169">
        <v>1.75</v>
      </c>
      <c r="S169">
        <v>2.0499999999999998</v>
      </c>
      <c r="X169">
        <v>2</v>
      </c>
      <c r="AG169">
        <v>2</v>
      </c>
    </row>
    <row r="170" spans="1:34">
      <c r="A170" t="s">
        <v>131</v>
      </c>
      <c r="B170" t="s">
        <v>6</v>
      </c>
      <c r="C170" t="s">
        <v>63</v>
      </c>
      <c r="D170">
        <v>2358.21</v>
      </c>
      <c r="E170">
        <v>19.238267</v>
      </c>
      <c r="F170">
        <v>-97.548224000000005</v>
      </c>
      <c r="H170">
        <v>14.4</v>
      </c>
      <c r="K170">
        <v>15.98</v>
      </c>
      <c r="M170">
        <v>16.57</v>
      </c>
      <c r="S170">
        <v>17.98</v>
      </c>
      <c r="X170">
        <v>18.8</v>
      </c>
      <c r="AG170">
        <v>25</v>
      </c>
      <c r="AH170">
        <v>26.8</v>
      </c>
    </row>
    <row r="171" spans="1:34">
      <c r="A171" t="s">
        <v>132</v>
      </c>
      <c r="B171" t="s">
        <v>6</v>
      </c>
      <c r="C171" t="s">
        <v>63</v>
      </c>
      <c r="D171">
        <v>2390</v>
      </c>
      <c r="E171">
        <v>19.240444</v>
      </c>
      <c r="F171">
        <v>-97.493832999999995</v>
      </c>
      <c r="G171">
        <v>27</v>
      </c>
      <c r="K171">
        <v>35</v>
      </c>
      <c r="M171">
        <v>36.520000000000003</v>
      </c>
      <c r="S171">
        <v>38.020000000000003</v>
      </c>
      <c r="X171">
        <v>40.74</v>
      </c>
      <c r="AG171">
        <v>40</v>
      </c>
      <c r="AH171">
        <v>42.45</v>
      </c>
    </row>
    <row r="172" spans="1:34">
      <c r="A172" t="s">
        <v>133</v>
      </c>
      <c r="B172" t="s">
        <v>6</v>
      </c>
      <c r="C172" t="s">
        <v>63</v>
      </c>
      <c r="D172">
        <v>2350.7600000000002</v>
      </c>
      <c r="E172">
        <v>19.199293999999998</v>
      </c>
      <c r="F172">
        <v>-97.631881000000007</v>
      </c>
      <c r="M172">
        <v>2.6</v>
      </c>
      <c r="S172">
        <v>2</v>
      </c>
      <c r="AH172">
        <v>10.42</v>
      </c>
    </row>
    <row r="173" spans="1:34">
      <c r="A173" t="s">
        <v>134</v>
      </c>
      <c r="B173" t="s">
        <v>6</v>
      </c>
      <c r="C173" t="s">
        <v>63</v>
      </c>
      <c r="D173">
        <v>2350</v>
      </c>
      <c r="E173">
        <v>19.219065000000001</v>
      </c>
      <c r="F173">
        <v>-97.571669999999997</v>
      </c>
      <c r="G173">
        <v>8.8000000000000007</v>
      </c>
      <c r="H173">
        <v>8.6199999999999992</v>
      </c>
      <c r="K173">
        <v>11.26</v>
      </c>
      <c r="M173">
        <v>11.81</v>
      </c>
      <c r="S173">
        <v>13.78</v>
      </c>
      <c r="X173">
        <v>13.81</v>
      </c>
    </row>
    <row r="174" spans="1:34">
      <c r="A174" t="s">
        <v>135</v>
      </c>
      <c r="B174" t="s">
        <v>6</v>
      </c>
      <c r="C174" t="s">
        <v>63</v>
      </c>
      <c r="D174">
        <v>2352.9699999999998</v>
      </c>
      <c r="E174">
        <v>19.212437999999999</v>
      </c>
      <c r="F174">
        <v>-97.733238</v>
      </c>
      <c r="G174">
        <v>2.0699999999999998</v>
      </c>
      <c r="H174">
        <v>2.2000000000000002</v>
      </c>
      <c r="K174">
        <v>2.2400000000000002</v>
      </c>
      <c r="M174">
        <v>2.2599999999999998</v>
      </c>
      <c r="S174">
        <v>2.95</v>
      </c>
      <c r="X174">
        <v>2.0699999999999998</v>
      </c>
      <c r="AG174">
        <v>2</v>
      </c>
      <c r="AH174">
        <v>3.3</v>
      </c>
    </row>
    <row r="175" spans="1:34">
      <c r="A175" t="s">
        <v>136</v>
      </c>
      <c r="B175" t="s">
        <v>6</v>
      </c>
      <c r="C175" t="s">
        <v>63</v>
      </c>
      <c r="D175">
        <v>2400</v>
      </c>
      <c r="E175">
        <v>19.214221999999999</v>
      </c>
      <c r="F175">
        <v>-97.483889000000005</v>
      </c>
      <c r="G175">
        <v>38.409999999999997</v>
      </c>
      <c r="H175">
        <v>37.6</v>
      </c>
      <c r="K175">
        <v>37.53</v>
      </c>
      <c r="M175">
        <v>38.35</v>
      </c>
      <c r="S175">
        <v>39.86</v>
      </c>
      <c r="X175">
        <v>40.799999999999997</v>
      </c>
      <c r="AG175">
        <v>50</v>
      </c>
      <c r="AH175">
        <v>44.7</v>
      </c>
    </row>
    <row r="176" spans="1:34">
      <c r="A176" t="s">
        <v>137</v>
      </c>
      <c r="B176" t="s">
        <v>6</v>
      </c>
      <c r="C176" t="s">
        <v>63</v>
      </c>
      <c r="D176">
        <v>2370</v>
      </c>
      <c r="E176">
        <v>19.199117999999999</v>
      </c>
      <c r="F176">
        <v>-97.538698999999994</v>
      </c>
      <c r="K176">
        <v>20.86</v>
      </c>
      <c r="M176">
        <v>20.25</v>
      </c>
      <c r="S176">
        <v>19.66</v>
      </c>
    </row>
    <row r="177" spans="1:34">
      <c r="A177" t="s">
        <v>138</v>
      </c>
      <c r="B177" t="s">
        <v>6</v>
      </c>
      <c r="C177" t="s">
        <v>63</v>
      </c>
      <c r="D177">
        <v>2430.2399999999998</v>
      </c>
      <c r="E177">
        <v>19.202750999999999</v>
      </c>
      <c r="F177">
        <v>-97.851097999999993</v>
      </c>
      <c r="H177">
        <v>83.5</v>
      </c>
      <c r="K177">
        <v>85.97</v>
      </c>
      <c r="M177">
        <v>90</v>
      </c>
      <c r="S177">
        <v>93.83</v>
      </c>
      <c r="X177">
        <v>112.21</v>
      </c>
      <c r="AG177">
        <v>114</v>
      </c>
    </row>
    <row r="178" spans="1:34">
      <c r="A178" t="s">
        <v>139</v>
      </c>
      <c r="B178" t="s">
        <v>6</v>
      </c>
      <c r="C178" t="s">
        <v>63</v>
      </c>
      <c r="D178">
        <v>2386.4899999999998</v>
      </c>
      <c r="E178">
        <v>19.203645000000002</v>
      </c>
      <c r="F178">
        <v>-97.815461999999997</v>
      </c>
      <c r="G178">
        <v>35.020000000000003</v>
      </c>
      <c r="H178">
        <v>35.28</v>
      </c>
      <c r="K178">
        <v>35.840000000000003</v>
      </c>
      <c r="M178">
        <v>36.36</v>
      </c>
      <c r="AG178">
        <v>64</v>
      </c>
    </row>
    <row r="179" spans="1:34">
      <c r="A179" t="s">
        <v>140</v>
      </c>
      <c r="B179" t="s">
        <v>6</v>
      </c>
      <c r="C179" t="s">
        <v>63</v>
      </c>
      <c r="D179">
        <v>2474.73</v>
      </c>
      <c r="E179">
        <v>19.200142</v>
      </c>
      <c r="F179">
        <v>-97.388019</v>
      </c>
      <c r="G179">
        <v>113.3</v>
      </c>
      <c r="H179">
        <v>113.4</v>
      </c>
      <c r="K179">
        <v>113.87</v>
      </c>
      <c r="M179">
        <v>116.37</v>
      </c>
      <c r="S179">
        <v>116.91</v>
      </c>
      <c r="X179">
        <v>117.3</v>
      </c>
      <c r="AH179">
        <v>110</v>
      </c>
    </row>
    <row r="180" spans="1:34">
      <c r="A180" t="s">
        <v>141</v>
      </c>
      <c r="B180" t="s">
        <v>6</v>
      </c>
      <c r="C180" t="s">
        <v>63</v>
      </c>
      <c r="D180">
        <v>2353.5</v>
      </c>
      <c r="E180">
        <v>19.190882999999999</v>
      </c>
      <c r="F180">
        <v>-97.710474000000005</v>
      </c>
      <c r="G180">
        <v>1.58</v>
      </c>
      <c r="H180">
        <v>1.6</v>
      </c>
      <c r="K180">
        <v>1.5</v>
      </c>
      <c r="M180">
        <v>1.67</v>
      </c>
      <c r="S180">
        <v>1.94</v>
      </c>
      <c r="X180">
        <v>1.8</v>
      </c>
    </row>
    <row r="181" spans="1:34">
      <c r="A181" t="s">
        <v>142</v>
      </c>
      <c r="B181" t="s">
        <v>6</v>
      </c>
      <c r="C181" t="s">
        <v>63</v>
      </c>
      <c r="D181">
        <v>2426.61</v>
      </c>
      <c r="E181">
        <v>19.148458999999999</v>
      </c>
      <c r="F181">
        <v>-97.504054999999994</v>
      </c>
      <c r="H181">
        <v>63.68</v>
      </c>
      <c r="K181">
        <v>64.180000000000007</v>
      </c>
      <c r="M181">
        <v>66.94</v>
      </c>
      <c r="S181">
        <v>70.06</v>
      </c>
      <c r="X181">
        <v>69.81</v>
      </c>
      <c r="AG181">
        <v>69</v>
      </c>
      <c r="AH181">
        <v>48</v>
      </c>
    </row>
    <row r="182" spans="1:34">
      <c r="A182" t="s">
        <v>143</v>
      </c>
      <c r="B182" t="s">
        <v>6</v>
      </c>
      <c r="C182" t="s">
        <v>63</v>
      </c>
      <c r="D182">
        <v>2360.1799999999998</v>
      </c>
      <c r="E182">
        <v>19.17643</v>
      </c>
      <c r="F182">
        <v>-97.788078999999996</v>
      </c>
      <c r="H182">
        <v>18.62</v>
      </c>
      <c r="K182">
        <v>18.78</v>
      </c>
      <c r="M182">
        <v>18.89</v>
      </c>
      <c r="S182">
        <v>20.149999999999999</v>
      </c>
      <c r="AG182">
        <v>35</v>
      </c>
    </row>
    <row r="183" spans="1:34">
      <c r="A183" t="s">
        <v>144</v>
      </c>
      <c r="B183" t="s">
        <v>6</v>
      </c>
      <c r="C183" t="s">
        <v>63</v>
      </c>
      <c r="D183">
        <v>2357.91</v>
      </c>
      <c r="E183">
        <v>19.183391</v>
      </c>
      <c r="F183">
        <v>-97.594977999999998</v>
      </c>
      <c r="G183">
        <v>9.17</v>
      </c>
      <c r="H183">
        <v>9</v>
      </c>
      <c r="K183">
        <v>9.19</v>
      </c>
      <c r="M183">
        <v>11.07</v>
      </c>
      <c r="S183">
        <v>13.6</v>
      </c>
      <c r="X183">
        <v>11.7</v>
      </c>
      <c r="AG183">
        <v>22</v>
      </c>
      <c r="AH183">
        <v>18.7</v>
      </c>
    </row>
    <row r="184" spans="1:34">
      <c r="A184" t="s">
        <v>145</v>
      </c>
      <c r="B184" t="s">
        <v>6</v>
      </c>
      <c r="C184" t="s">
        <v>63</v>
      </c>
      <c r="D184">
        <v>2396.13</v>
      </c>
      <c r="E184">
        <v>19.172779999999999</v>
      </c>
      <c r="F184">
        <v>-97.808874000000003</v>
      </c>
      <c r="H184">
        <v>45.6</v>
      </c>
      <c r="K184">
        <v>46.7</v>
      </c>
      <c r="S184">
        <v>50.3</v>
      </c>
      <c r="X184">
        <v>67</v>
      </c>
      <c r="AG184">
        <v>55</v>
      </c>
      <c r="AH184">
        <v>27.17</v>
      </c>
    </row>
    <row r="185" spans="1:34">
      <c r="A185" t="s">
        <v>146</v>
      </c>
      <c r="B185" t="s">
        <v>6</v>
      </c>
      <c r="C185" t="s">
        <v>63</v>
      </c>
      <c r="D185">
        <v>2350</v>
      </c>
      <c r="E185">
        <v>19.168773999999999</v>
      </c>
      <c r="F185">
        <v>-97.641870999999995</v>
      </c>
      <c r="G185">
        <v>6.53</v>
      </c>
      <c r="H185">
        <v>4.95</v>
      </c>
      <c r="K185">
        <v>6.46</v>
      </c>
      <c r="M185">
        <v>6.24</v>
      </c>
      <c r="S185">
        <v>7.47</v>
      </c>
      <c r="X185">
        <v>7.5</v>
      </c>
      <c r="AH185">
        <v>12</v>
      </c>
    </row>
    <row r="186" spans="1:34">
      <c r="A186" t="s">
        <v>147</v>
      </c>
      <c r="B186" t="s">
        <v>6</v>
      </c>
      <c r="C186" t="s">
        <v>63</v>
      </c>
      <c r="D186">
        <v>2464.4299999999998</v>
      </c>
      <c r="E186">
        <v>19.160169</v>
      </c>
      <c r="F186">
        <v>-97.445438999999993</v>
      </c>
      <c r="G186">
        <v>106</v>
      </c>
      <c r="H186">
        <v>107.6</v>
      </c>
      <c r="K186">
        <v>110.96</v>
      </c>
      <c r="M186">
        <v>113.23</v>
      </c>
      <c r="S186">
        <v>115.96</v>
      </c>
    </row>
    <row r="187" spans="1:34">
      <c r="A187" t="s">
        <v>148</v>
      </c>
      <c r="B187" t="s">
        <v>6</v>
      </c>
      <c r="C187" t="s">
        <v>63</v>
      </c>
      <c r="D187">
        <v>2394.41</v>
      </c>
      <c r="E187">
        <v>19.157146999999998</v>
      </c>
      <c r="F187">
        <v>-97.541759999999996</v>
      </c>
      <c r="H187">
        <v>49.47</v>
      </c>
      <c r="K187">
        <v>56.18</v>
      </c>
      <c r="M187">
        <v>36.03</v>
      </c>
      <c r="S187">
        <v>40.549999999999997</v>
      </c>
      <c r="X187">
        <v>38.119999999999997</v>
      </c>
      <c r="AG187">
        <v>41</v>
      </c>
      <c r="AH187">
        <v>44.86</v>
      </c>
    </row>
    <row r="188" spans="1:34">
      <c r="A188" t="s">
        <v>149</v>
      </c>
      <c r="B188" t="s">
        <v>6</v>
      </c>
      <c r="C188" t="s">
        <v>63</v>
      </c>
      <c r="D188">
        <v>2350.38</v>
      </c>
      <c r="E188">
        <v>19.140181999999999</v>
      </c>
      <c r="F188">
        <v>-97.708985999999996</v>
      </c>
      <c r="G188">
        <v>12.07</v>
      </c>
      <c r="M188">
        <v>13.07</v>
      </c>
      <c r="S188">
        <v>14.44</v>
      </c>
      <c r="X188">
        <v>13.7</v>
      </c>
      <c r="AH188">
        <v>10</v>
      </c>
    </row>
    <row r="189" spans="1:34">
      <c r="A189" t="s">
        <v>150</v>
      </c>
      <c r="B189" t="s">
        <v>6</v>
      </c>
      <c r="C189" t="s">
        <v>63</v>
      </c>
      <c r="D189">
        <v>2472.4499999999998</v>
      </c>
      <c r="E189">
        <v>19.140844999999999</v>
      </c>
      <c r="F189">
        <v>-97.470355999999995</v>
      </c>
      <c r="G189">
        <v>106.9</v>
      </c>
      <c r="H189">
        <v>107.7</v>
      </c>
      <c r="K189">
        <v>110.43</v>
      </c>
      <c r="M189">
        <v>112.73</v>
      </c>
      <c r="S189">
        <v>116.42</v>
      </c>
      <c r="X189">
        <v>116.5</v>
      </c>
      <c r="AG189">
        <v>116</v>
      </c>
    </row>
    <row r="190" spans="1:34">
      <c r="A190" t="s">
        <v>151</v>
      </c>
      <c r="B190" t="s">
        <v>6</v>
      </c>
      <c r="C190" t="s">
        <v>63</v>
      </c>
      <c r="D190">
        <v>2395.5700000000002</v>
      </c>
      <c r="E190">
        <v>19.136306999999999</v>
      </c>
      <c r="F190">
        <v>-97.732612000000003</v>
      </c>
      <c r="G190">
        <v>49.5</v>
      </c>
      <c r="H190">
        <v>54</v>
      </c>
      <c r="K190">
        <v>56.37</v>
      </c>
      <c r="M190">
        <v>56.73</v>
      </c>
      <c r="S190">
        <v>57.65</v>
      </c>
      <c r="X190">
        <v>57.9</v>
      </c>
    </row>
    <row r="191" spans="1:34">
      <c r="A191" t="s">
        <v>152</v>
      </c>
      <c r="B191" t="s">
        <v>6</v>
      </c>
      <c r="C191" t="s">
        <v>63</v>
      </c>
      <c r="D191">
        <v>2360.96</v>
      </c>
      <c r="E191">
        <v>19.127922000000002</v>
      </c>
      <c r="F191">
        <v>-97.702720999999997</v>
      </c>
      <c r="H191">
        <v>29.2</v>
      </c>
      <c r="K191">
        <v>30.07</v>
      </c>
      <c r="M191">
        <v>30.13</v>
      </c>
      <c r="S191">
        <v>30.99</v>
      </c>
      <c r="X191">
        <v>30.47</v>
      </c>
    </row>
    <row r="192" spans="1:34">
      <c r="A192" t="s">
        <v>153</v>
      </c>
      <c r="B192" t="s">
        <v>6</v>
      </c>
      <c r="C192" t="s">
        <v>63</v>
      </c>
      <c r="D192">
        <v>2431.8200000000002</v>
      </c>
      <c r="E192">
        <v>19.124420000000001</v>
      </c>
      <c r="F192">
        <v>-97.523549000000003</v>
      </c>
      <c r="G192">
        <v>75</v>
      </c>
      <c r="H192">
        <v>75.239999999999995</v>
      </c>
      <c r="K192">
        <v>75.5</v>
      </c>
      <c r="M192">
        <v>76.13</v>
      </c>
      <c r="S192">
        <v>77.78</v>
      </c>
      <c r="X192">
        <v>79.12</v>
      </c>
      <c r="AG192">
        <v>90</v>
      </c>
    </row>
    <row r="193" spans="1:34">
      <c r="A193" t="s">
        <v>154</v>
      </c>
      <c r="B193" t="s">
        <v>6</v>
      </c>
      <c r="C193" t="s">
        <v>63</v>
      </c>
      <c r="D193">
        <v>2350</v>
      </c>
      <c r="E193">
        <v>19.117677</v>
      </c>
      <c r="F193">
        <v>-97.662648000000004</v>
      </c>
      <c r="H193">
        <v>11.38</v>
      </c>
      <c r="K193">
        <v>11.83</v>
      </c>
      <c r="M193">
        <v>12.19</v>
      </c>
      <c r="S193">
        <v>13.17</v>
      </c>
      <c r="X193">
        <v>13.76</v>
      </c>
    </row>
    <row r="194" spans="1:34">
      <c r="A194" t="s">
        <v>155</v>
      </c>
      <c r="B194" t="s">
        <v>6</v>
      </c>
      <c r="C194" t="s">
        <v>63</v>
      </c>
      <c r="D194">
        <v>2355.4499999999998</v>
      </c>
      <c r="E194">
        <v>19.105485999999999</v>
      </c>
      <c r="F194">
        <v>-97.677307999999996</v>
      </c>
      <c r="G194">
        <v>28.2</v>
      </c>
      <c r="H194">
        <v>28.7</v>
      </c>
      <c r="K194">
        <v>29</v>
      </c>
      <c r="M194">
        <v>30.55</v>
      </c>
      <c r="S194">
        <v>32.22</v>
      </c>
      <c r="X194">
        <v>37.5</v>
      </c>
      <c r="AH194">
        <v>38.5</v>
      </c>
    </row>
    <row r="195" spans="1:34">
      <c r="A195" t="s">
        <v>156</v>
      </c>
      <c r="B195" t="s">
        <v>6</v>
      </c>
      <c r="C195" t="s">
        <v>63</v>
      </c>
      <c r="D195">
        <v>2437.56</v>
      </c>
      <c r="E195">
        <v>19.104016999999999</v>
      </c>
      <c r="F195">
        <v>-97.604406999999995</v>
      </c>
      <c r="H195">
        <v>77.819999999999993</v>
      </c>
      <c r="K195">
        <v>78.8</v>
      </c>
      <c r="M195">
        <v>80.849999999999994</v>
      </c>
      <c r="S195">
        <v>82.2</v>
      </c>
      <c r="X195">
        <v>78.599999999999994</v>
      </c>
      <c r="AG195">
        <v>121.8</v>
      </c>
      <c r="AH195">
        <v>77.510000000000005</v>
      </c>
    </row>
    <row r="196" spans="1:34">
      <c r="A196" t="s">
        <v>157</v>
      </c>
      <c r="B196" t="s">
        <v>6</v>
      </c>
      <c r="C196" t="s">
        <v>63</v>
      </c>
      <c r="D196">
        <v>2514.0300000000002</v>
      </c>
      <c r="E196">
        <v>19.098482000000001</v>
      </c>
      <c r="F196">
        <v>-97.480450000000005</v>
      </c>
      <c r="H196">
        <v>146</v>
      </c>
      <c r="K196">
        <v>146.66999999999999</v>
      </c>
      <c r="M196">
        <v>148.72</v>
      </c>
      <c r="S196">
        <v>153.03</v>
      </c>
      <c r="X196">
        <v>153.15</v>
      </c>
      <c r="AG196">
        <v>151</v>
      </c>
    </row>
    <row r="197" spans="1:34">
      <c r="A197" t="s">
        <v>158</v>
      </c>
      <c r="B197" t="s">
        <v>6</v>
      </c>
      <c r="C197" t="s">
        <v>63</v>
      </c>
      <c r="D197">
        <v>2466.38</v>
      </c>
      <c r="E197">
        <v>19.081419</v>
      </c>
      <c r="F197">
        <v>-97.535724999999999</v>
      </c>
      <c r="G197">
        <v>102</v>
      </c>
      <c r="H197">
        <v>115.57</v>
      </c>
      <c r="S197">
        <v>119.45</v>
      </c>
      <c r="X197">
        <v>119.5</v>
      </c>
    </row>
    <row r="198" spans="1:34">
      <c r="A198" t="s">
        <v>159</v>
      </c>
      <c r="B198" t="s">
        <v>6</v>
      </c>
      <c r="C198" t="s">
        <v>63</v>
      </c>
      <c r="D198">
        <v>2371</v>
      </c>
      <c r="E198">
        <v>19.092224999999999</v>
      </c>
      <c r="F198">
        <v>-97.528902000000002</v>
      </c>
      <c r="AH198">
        <v>22.3</v>
      </c>
    </row>
    <row r="199" spans="1:34">
      <c r="A199" t="s">
        <v>160</v>
      </c>
      <c r="B199" t="s">
        <v>6</v>
      </c>
      <c r="C199" t="s">
        <v>63</v>
      </c>
      <c r="D199">
        <v>2420</v>
      </c>
      <c r="E199">
        <v>19.055585000000001</v>
      </c>
      <c r="F199">
        <v>-97.559526000000005</v>
      </c>
      <c r="H199">
        <v>62.27</v>
      </c>
      <c r="K199">
        <v>83.62</v>
      </c>
      <c r="M199">
        <v>84.2</v>
      </c>
    </row>
    <row r="200" spans="1:34">
      <c r="A200" t="s">
        <v>161</v>
      </c>
      <c r="B200" t="s">
        <v>6</v>
      </c>
      <c r="C200" t="s">
        <v>63</v>
      </c>
      <c r="D200">
        <v>2517.66</v>
      </c>
      <c r="E200">
        <v>19.051475</v>
      </c>
      <c r="F200">
        <v>-97.488450999999998</v>
      </c>
      <c r="H200">
        <v>159</v>
      </c>
      <c r="K200">
        <v>161.01</v>
      </c>
      <c r="M200">
        <v>162.72999999999999</v>
      </c>
      <c r="S200">
        <v>164.88</v>
      </c>
      <c r="X200">
        <v>169.12</v>
      </c>
      <c r="AH200">
        <v>163.5</v>
      </c>
    </row>
    <row r="201" spans="1:34">
      <c r="A201" t="s">
        <v>162</v>
      </c>
      <c r="B201" t="s">
        <v>6</v>
      </c>
      <c r="C201" t="s">
        <v>63</v>
      </c>
      <c r="D201">
        <v>2466.9</v>
      </c>
      <c r="E201">
        <v>19.001785000000002</v>
      </c>
      <c r="F201">
        <v>-97.493364999999997</v>
      </c>
      <c r="G201">
        <v>111.2</v>
      </c>
      <c r="K201">
        <v>110.7</v>
      </c>
      <c r="M201">
        <v>94.88</v>
      </c>
      <c r="S201">
        <v>99.5</v>
      </c>
      <c r="X201">
        <v>110.05</v>
      </c>
      <c r="AH201">
        <v>124.8</v>
      </c>
    </row>
    <row r="202" spans="1:34">
      <c r="A202" t="s">
        <v>163</v>
      </c>
      <c r="B202" t="s">
        <v>6</v>
      </c>
      <c r="C202" t="s">
        <v>63</v>
      </c>
      <c r="D202">
        <v>2510.35</v>
      </c>
      <c r="E202">
        <v>18.983608</v>
      </c>
      <c r="F202">
        <v>-97.466042000000002</v>
      </c>
      <c r="G202">
        <v>130</v>
      </c>
      <c r="M202">
        <v>143.02000000000001</v>
      </c>
      <c r="S202">
        <v>146.54</v>
      </c>
    </row>
    <row r="203" spans="1:34">
      <c r="A203" t="s">
        <v>164</v>
      </c>
      <c r="B203" t="s">
        <v>6</v>
      </c>
      <c r="C203" t="s">
        <v>63</v>
      </c>
      <c r="D203">
        <v>2379.84</v>
      </c>
      <c r="E203">
        <v>19.135895000000001</v>
      </c>
      <c r="F203">
        <v>-97.723983000000004</v>
      </c>
      <c r="G203">
        <v>42.34</v>
      </c>
      <c r="M203">
        <v>43.15</v>
      </c>
      <c r="S203">
        <v>45.3</v>
      </c>
      <c r="X203">
        <v>40</v>
      </c>
    </row>
    <row r="204" spans="1:34">
      <c r="A204" t="s">
        <v>165</v>
      </c>
      <c r="B204" t="s">
        <v>6</v>
      </c>
      <c r="C204" t="s">
        <v>63</v>
      </c>
      <c r="D204">
        <v>2352.17</v>
      </c>
      <c r="E204">
        <v>19.436015999999999</v>
      </c>
      <c r="F204">
        <v>-97.65643</v>
      </c>
      <c r="G204">
        <v>22</v>
      </c>
      <c r="M204">
        <v>27.07</v>
      </c>
      <c r="S204">
        <v>29.06</v>
      </c>
      <c r="X204">
        <v>34.81</v>
      </c>
      <c r="AG204">
        <v>34.26</v>
      </c>
      <c r="AH204">
        <v>33.94</v>
      </c>
    </row>
    <row r="205" spans="1:34">
      <c r="A205" t="s">
        <v>166</v>
      </c>
      <c r="B205" t="s">
        <v>6</v>
      </c>
      <c r="C205" t="s">
        <v>63</v>
      </c>
      <c r="D205">
        <v>2398.62</v>
      </c>
      <c r="E205">
        <v>19.31504</v>
      </c>
      <c r="F205">
        <v>-97.343278999999995</v>
      </c>
      <c r="G205">
        <v>55.53</v>
      </c>
      <c r="M205">
        <v>56.42</v>
      </c>
      <c r="S205">
        <v>57.9</v>
      </c>
      <c r="X205">
        <v>64.5</v>
      </c>
    </row>
    <row r="206" spans="1:34">
      <c r="A206" t="s">
        <v>167</v>
      </c>
      <c r="B206" t="s">
        <v>6</v>
      </c>
      <c r="C206" t="s">
        <v>63</v>
      </c>
      <c r="D206">
        <v>2403</v>
      </c>
      <c r="E206">
        <v>19.304254</v>
      </c>
      <c r="F206">
        <v>-97.346435999999997</v>
      </c>
      <c r="AH206">
        <v>33</v>
      </c>
    </row>
    <row r="207" spans="1:34">
      <c r="A207" t="s">
        <v>168</v>
      </c>
      <c r="B207" t="s">
        <v>6</v>
      </c>
      <c r="C207" t="s">
        <v>63</v>
      </c>
      <c r="D207">
        <v>2440</v>
      </c>
      <c r="E207">
        <v>19.226509</v>
      </c>
      <c r="F207">
        <v>-97.380376999999996</v>
      </c>
      <c r="G207">
        <v>90</v>
      </c>
      <c r="M207">
        <v>81.55</v>
      </c>
      <c r="AH207">
        <v>86.43</v>
      </c>
    </row>
    <row r="208" spans="1:34">
      <c r="A208" t="s">
        <v>169</v>
      </c>
      <c r="B208" t="s">
        <v>6</v>
      </c>
      <c r="C208" t="s">
        <v>63</v>
      </c>
      <c r="D208">
        <v>2365</v>
      </c>
      <c r="E208">
        <v>19.513411999999999</v>
      </c>
      <c r="F208">
        <v>-97.661224000000004</v>
      </c>
      <c r="AH208">
        <v>50.68</v>
      </c>
    </row>
    <row r="209" spans="1:36">
      <c r="A209" t="s">
        <v>170</v>
      </c>
      <c r="B209" t="s">
        <v>6</v>
      </c>
      <c r="C209" t="s">
        <v>63</v>
      </c>
      <c r="D209">
        <v>2354</v>
      </c>
      <c r="E209">
        <v>19.505832999999999</v>
      </c>
      <c r="F209">
        <v>-97.642499999999998</v>
      </c>
      <c r="AG209">
        <v>36.270000000000003</v>
      </c>
    </row>
    <row r="210" spans="1:36">
      <c r="A210" t="s">
        <v>171</v>
      </c>
      <c r="B210" t="s">
        <v>6</v>
      </c>
      <c r="C210" t="s">
        <v>63</v>
      </c>
      <c r="D210">
        <v>2355</v>
      </c>
      <c r="E210">
        <v>19.492778000000001</v>
      </c>
      <c r="F210">
        <v>-97.648888999999997</v>
      </c>
      <c r="AG210">
        <v>33.11</v>
      </c>
      <c r="AH210">
        <v>30.1</v>
      </c>
    </row>
    <row r="211" spans="1:36">
      <c r="A211" t="s">
        <v>172</v>
      </c>
      <c r="B211" t="s">
        <v>6</v>
      </c>
      <c r="C211" t="s">
        <v>63</v>
      </c>
      <c r="D211">
        <v>2338</v>
      </c>
      <c r="E211">
        <v>19.437778000000002</v>
      </c>
      <c r="F211">
        <v>-97.611945000000006</v>
      </c>
      <c r="AH211">
        <v>21.01</v>
      </c>
    </row>
    <row r="212" spans="1:36">
      <c r="A212" t="s">
        <v>173</v>
      </c>
      <c r="B212" t="s">
        <v>6</v>
      </c>
      <c r="C212" t="s">
        <v>63</v>
      </c>
      <c r="D212">
        <v>2360</v>
      </c>
      <c r="E212">
        <v>19.513055999999999</v>
      </c>
      <c r="F212">
        <v>-97.641666999999998</v>
      </c>
      <c r="AG212">
        <v>38.5</v>
      </c>
    </row>
    <row r="213" spans="1:36">
      <c r="A213" t="s">
        <v>174</v>
      </c>
      <c r="B213" t="s">
        <v>6</v>
      </c>
      <c r="C213" t="s">
        <v>63</v>
      </c>
      <c r="D213">
        <v>2375</v>
      </c>
      <c r="E213">
        <v>19.500368000000002</v>
      </c>
      <c r="F213">
        <v>-97.670490000000001</v>
      </c>
      <c r="G213">
        <v>37.299999999999997</v>
      </c>
    </row>
    <row r="214" spans="1:36">
      <c r="A214" t="s">
        <v>175</v>
      </c>
      <c r="B214" t="s">
        <v>6</v>
      </c>
      <c r="C214" t="s">
        <v>63</v>
      </c>
      <c r="D214">
        <v>2383</v>
      </c>
      <c r="E214">
        <v>19.509167000000001</v>
      </c>
      <c r="F214">
        <v>-97.665555999999995</v>
      </c>
      <c r="AG214">
        <v>45.34</v>
      </c>
      <c r="AH214">
        <v>40.98</v>
      </c>
    </row>
    <row r="215" spans="1:36">
      <c r="A215" t="s">
        <v>176</v>
      </c>
      <c r="B215" t="s">
        <v>6</v>
      </c>
      <c r="C215" t="s">
        <v>63</v>
      </c>
      <c r="D215">
        <v>2360</v>
      </c>
      <c r="E215">
        <v>19.480917999999999</v>
      </c>
      <c r="F215">
        <v>-97.665961999999993</v>
      </c>
      <c r="G215">
        <v>25</v>
      </c>
      <c r="AG215">
        <v>36.56</v>
      </c>
    </row>
    <row r="216" spans="1:36">
      <c r="A216" t="s">
        <v>177</v>
      </c>
      <c r="B216" t="s">
        <v>6</v>
      </c>
      <c r="C216" t="s">
        <v>63</v>
      </c>
      <c r="D216">
        <v>2380</v>
      </c>
      <c r="E216">
        <v>19.488813</v>
      </c>
      <c r="F216">
        <v>-97.676738999999998</v>
      </c>
      <c r="G216">
        <v>45</v>
      </c>
      <c r="AH216">
        <v>48.5</v>
      </c>
    </row>
    <row r="217" spans="1:36">
      <c r="A217" t="s">
        <v>178</v>
      </c>
      <c r="B217" t="s">
        <v>6</v>
      </c>
      <c r="C217" t="s">
        <v>63</v>
      </c>
      <c r="D217">
        <v>2351</v>
      </c>
      <c r="E217">
        <v>19.479590999999999</v>
      </c>
      <c r="F217">
        <v>-97.649072000000004</v>
      </c>
      <c r="G217">
        <v>17</v>
      </c>
    </row>
    <row r="218" spans="1:36">
      <c r="A218" t="s">
        <v>179</v>
      </c>
      <c r="B218" t="s">
        <v>6</v>
      </c>
      <c r="C218" t="s">
        <v>63</v>
      </c>
      <c r="D218">
        <v>2358</v>
      </c>
      <c r="E218">
        <v>19.480034</v>
      </c>
      <c r="F218">
        <v>-97.658794999999998</v>
      </c>
      <c r="G218">
        <v>43.3</v>
      </c>
    </row>
    <row r="219" spans="1:36">
      <c r="A219" t="s">
        <v>180</v>
      </c>
      <c r="B219" t="s">
        <v>6</v>
      </c>
      <c r="C219" t="s">
        <v>10</v>
      </c>
      <c r="D219">
        <v>2245</v>
      </c>
      <c r="E219">
        <v>19.007750000000001</v>
      </c>
      <c r="F219">
        <v>-97.850755000000007</v>
      </c>
      <c r="H219">
        <v>50.9</v>
      </c>
    </row>
    <row r="220" spans="1:36">
      <c r="A220" t="s">
        <v>181</v>
      </c>
      <c r="B220" t="s">
        <v>6</v>
      </c>
      <c r="C220" t="s">
        <v>8</v>
      </c>
      <c r="D220">
        <v>2145</v>
      </c>
      <c r="E220">
        <v>19.044758000000002</v>
      </c>
      <c r="F220">
        <v>-98.174049999999994</v>
      </c>
      <c r="M220">
        <v>8.6999999999999993</v>
      </c>
    </row>
    <row r="221" spans="1:36">
      <c r="A221" t="s">
        <v>182</v>
      </c>
      <c r="B221" t="s">
        <v>6</v>
      </c>
      <c r="C221" t="s">
        <v>8</v>
      </c>
      <c r="D221">
        <v>2219</v>
      </c>
      <c r="E221">
        <v>19.084239</v>
      </c>
      <c r="F221">
        <v>-98.212638999999996</v>
      </c>
      <c r="M221">
        <v>16.25</v>
      </c>
    </row>
    <row r="222" spans="1:36">
      <c r="A222" t="s">
        <v>183</v>
      </c>
      <c r="B222" t="s">
        <v>6</v>
      </c>
      <c r="C222" t="s">
        <v>8</v>
      </c>
      <c r="D222">
        <v>2235</v>
      </c>
      <c r="E222">
        <v>19.081568999999998</v>
      </c>
      <c r="F222">
        <v>-98.161986999999996</v>
      </c>
      <c r="X222">
        <v>103.39</v>
      </c>
      <c r="Y222">
        <v>102.28</v>
      </c>
      <c r="Z222">
        <v>96.13</v>
      </c>
      <c r="AA222">
        <v>93.92</v>
      </c>
      <c r="AB222">
        <v>96.5</v>
      </c>
      <c r="AC222">
        <v>97.7</v>
      </c>
      <c r="AD222">
        <v>100.28</v>
      </c>
      <c r="AE222">
        <v>100.38</v>
      </c>
      <c r="AF222">
        <v>100.8</v>
      </c>
      <c r="AG222">
        <v>100.97</v>
      </c>
      <c r="AH222">
        <v>102.14</v>
      </c>
      <c r="AI222">
        <v>102.94</v>
      </c>
      <c r="AJ222">
        <v>102.26</v>
      </c>
    </row>
    <row r="223" spans="1:36">
      <c r="A223" t="s">
        <v>184</v>
      </c>
      <c r="B223" t="s">
        <v>6</v>
      </c>
      <c r="C223" t="s">
        <v>7</v>
      </c>
      <c r="D223">
        <v>2079.66</v>
      </c>
      <c r="E223">
        <v>18.979099999999999</v>
      </c>
      <c r="F223">
        <v>-98.3797</v>
      </c>
      <c r="AJ223">
        <v>22.69</v>
      </c>
    </row>
    <row r="224" spans="1:36">
      <c r="A224" t="s">
        <v>185</v>
      </c>
      <c r="B224" t="s">
        <v>6</v>
      </c>
      <c r="C224" t="s">
        <v>8</v>
      </c>
      <c r="D224">
        <v>2248</v>
      </c>
      <c r="E224">
        <v>19.043578</v>
      </c>
      <c r="F224">
        <v>-98.250727999999995</v>
      </c>
      <c r="M224">
        <v>52.3</v>
      </c>
    </row>
    <row r="225" spans="1:36">
      <c r="A225" t="s">
        <v>185</v>
      </c>
      <c r="B225" t="s">
        <v>6</v>
      </c>
      <c r="C225" t="s">
        <v>8</v>
      </c>
      <c r="D225">
        <v>2197</v>
      </c>
      <c r="E225">
        <v>19.030719000000001</v>
      </c>
      <c r="F225">
        <v>-98.241230999999999</v>
      </c>
      <c r="M225">
        <v>47.85</v>
      </c>
    </row>
    <row r="226" spans="1:36">
      <c r="A226" t="s">
        <v>186</v>
      </c>
      <c r="B226" t="s">
        <v>6</v>
      </c>
      <c r="C226" t="s">
        <v>8</v>
      </c>
      <c r="D226">
        <v>2244</v>
      </c>
      <c r="E226">
        <v>19.077100000000002</v>
      </c>
      <c r="F226">
        <v>-98.414950000000005</v>
      </c>
      <c r="V226">
        <v>65.069999999999993</v>
      </c>
      <c r="W226">
        <v>65.97</v>
      </c>
      <c r="X226">
        <v>66.83</v>
      </c>
      <c r="Y226">
        <v>65.569999999999993</v>
      </c>
      <c r="Z226">
        <v>66.05</v>
      </c>
      <c r="AA226">
        <v>62.53</v>
      </c>
      <c r="AB226">
        <v>65.86</v>
      </c>
      <c r="AC226">
        <v>65.790000000000006</v>
      </c>
      <c r="AD226">
        <v>65.64</v>
      </c>
      <c r="AE226">
        <v>65.69</v>
      </c>
      <c r="AF226">
        <v>65.66</v>
      </c>
      <c r="AG226">
        <v>65.83</v>
      </c>
      <c r="AH226">
        <v>66.06</v>
      </c>
      <c r="AI226">
        <v>66.23</v>
      </c>
      <c r="AJ226">
        <v>66.489999999999995</v>
      </c>
    </row>
    <row r="227" spans="1:36">
      <c r="A227" t="s">
        <v>187</v>
      </c>
      <c r="B227" t="s">
        <v>6</v>
      </c>
      <c r="C227" t="s">
        <v>8</v>
      </c>
      <c r="D227">
        <v>2160</v>
      </c>
      <c r="E227">
        <v>19.024322000000002</v>
      </c>
      <c r="F227">
        <v>-98.385863999999998</v>
      </c>
      <c r="V227">
        <v>39.119999999999997</v>
      </c>
      <c r="W227">
        <v>38.92</v>
      </c>
      <c r="X227">
        <v>43.79</v>
      </c>
      <c r="Y227">
        <v>39.26</v>
      </c>
      <c r="Z227">
        <v>38.32</v>
      </c>
      <c r="AA227">
        <v>37.01</v>
      </c>
      <c r="AB227">
        <v>38.35</v>
      </c>
      <c r="AC227">
        <v>38.81</v>
      </c>
      <c r="AD227">
        <v>38.590000000000003</v>
      </c>
      <c r="AE227">
        <v>32.76</v>
      </c>
      <c r="AI227">
        <v>40.44</v>
      </c>
      <c r="AJ227">
        <v>40.43</v>
      </c>
    </row>
    <row r="228" spans="1:36">
      <c r="A228" t="s">
        <v>188</v>
      </c>
      <c r="B228" t="s">
        <v>6</v>
      </c>
      <c r="C228" t="s">
        <v>63</v>
      </c>
      <c r="D228">
        <v>2344</v>
      </c>
      <c r="E228">
        <v>19.453666999999999</v>
      </c>
      <c r="F228">
        <v>-97.37791</v>
      </c>
      <c r="AH228">
        <v>19.600000000000001</v>
      </c>
    </row>
    <row r="229" spans="1:36">
      <c r="A229" t="s">
        <v>189</v>
      </c>
      <c r="B229" t="s">
        <v>6</v>
      </c>
      <c r="C229" t="s">
        <v>7</v>
      </c>
      <c r="D229">
        <v>1176.0899999999999</v>
      </c>
      <c r="E229">
        <v>18.636299999999999</v>
      </c>
      <c r="F229">
        <v>-98.686499999999995</v>
      </c>
      <c r="AJ229">
        <v>10.34</v>
      </c>
    </row>
    <row r="230" spans="1:36">
      <c r="A230" t="s">
        <v>190</v>
      </c>
      <c r="B230" t="s">
        <v>6</v>
      </c>
      <c r="C230" t="s">
        <v>10</v>
      </c>
      <c r="D230">
        <v>2271</v>
      </c>
      <c r="E230">
        <v>18.768083000000001</v>
      </c>
      <c r="F230">
        <v>-97.495632999999998</v>
      </c>
      <c r="H230">
        <v>90.25</v>
      </c>
    </row>
    <row r="231" spans="1:36">
      <c r="A231" t="s">
        <v>191</v>
      </c>
      <c r="B231" t="s">
        <v>6</v>
      </c>
      <c r="C231" t="s">
        <v>10</v>
      </c>
      <c r="D231">
        <v>2219</v>
      </c>
      <c r="E231">
        <v>18.866783000000002</v>
      </c>
      <c r="F231">
        <v>-97.539366999999999</v>
      </c>
      <c r="H231">
        <v>27.5</v>
      </c>
    </row>
    <row r="232" spans="1:36">
      <c r="A232" t="s">
        <v>192</v>
      </c>
      <c r="B232" t="s">
        <v>6</v>
      </c>
      <c r="C232" t="s">
        <v>10</v>
      </c>
      <c r="D232">
        <v>2164</v>
      </c>
      <c r="E232">
        <v>18.870982999999999</v>
      </c>
      <c r="F232">
        <v>-97.625399999999999</v>
      </c>
      <c r="H232">
        <v>59.3</v>
      </c>
    </row>
    <row r="233" spans="1:36">
      <c r="A233" t="s">
        <v>193</v>
      </c>
      <c r="B233" t="s">
        <v>6</v>
      </c>
      <c r="C233" t="s">
        <v>10</v>
      </c>
      <c r="D233">
        <v>2225</v>
      </c>
      <c r="E233">
        <v>18.790382999999999</v>
      </c>
      <c r="F233">
        <v>-97.522532999999996</v>
      </c>
      <c r="H233">
        <v>69.25</v>
      </c>
    </row>
    <row r="234" spans="1:36">
      <c r="A234" t="s">
        <v>194</v>
      </c>
      <c r="B234" t="s">
        <v>6</v>
      </c>
      <c r="C234" t="s">
        <v>10</v>
      </c>
      <c r="D234">
        <v>2216</v>
      </c>
      <c r="E234">
        <v>18.804200000000002</v>
      </c>
      <c r="F234">
        <v>-97.556449999999998</v>
      </c>
      <c r="H234">
        <v>63.45</v>
      </c>
    </row>
    <row r="235" spans="1:36">
      <c r="A235" t="s">
        <v>195</v>
      </c>
      <c r="B235" t="s">
        <v>6</v>
      </c>
      <c r="C235" t="s">
        <v>10</v>
      </c>
      <c r="D235">
        <v>2239</v>
      </c>
      <c r="E235">
        <v>18.810500000000001</v>
      </c>
      <c r="F235">
        <v>-97.495867000000004</v>
      </c>
      <c r="H235">
        <v>49.8</v>
      </c>
    </row>
    <row r="236" spans="1:36">
      <c r="A236" t="s">
        <v>196</v>
      </c>
      <c r="B236" t="s">
        <v>6</v>
      </c>
      <c r="C236" t="s">
        <v>10</v>
      </c>
      <c r="D236">
        <v>2207</v>
      </c>
      <c r="E236">
        <v>18.819832999999999</v>
      </c>
      <c r="F236">
        <v>-97.517849999999996</v>
      </c>
      <c r="H236">
        <v>36.5</v>
      </c>
    </row>
    <row r="237" spans="1:36">
      <c r="A237" t="s">
        <v>197</v>
      </c>
      <c r="B237" t="s">
        <v>6</v>
      </c>
      <c r="C237" t="s">
        <v>10</v>
      </c>
      <c r="D237">
        <v>2200</v>
      </c>
      <c r="E237">
        <v>18.82705</v>
      </c>
      <c r="F237">
        <v>-97.570499999999996</v>
      </c>
      <c r="H237">
        <v>53.78</v>
      </c>
    </row>
    <row r="238" spans="1:36">
      <c r="A238" t="s">
        <v>198</v>
      </c>
      <c r="B238" t="s">
        <v>6</v>
      </c>
      <c r="C238" t="s">
        <v>10</v>
      </c>
      <c r="D238">
        <v>2193</v>
      </c>
      <c r="E238">
        <v>18.831083</v>
      </c>
      <c r="F238">
        <v>-97.553183000000004</v>
      </c>
      <c r="H238">
        <v>34.200000000000003</v>
      </c>
    </row>
    <row r="239" spans="1:36">
      <c r="A239" t="s">
        <v>199</v>
      </c>
      <c r="B239" t="s">
        <v>6</v>
      </c>
      <c r="C239" t="s">
        <v>10</v>
      </c>
      <c r="D239">
        <v>2240</v>
      </c>
      <c r="E239">
        <v>18.849117</v>
      </c>
      <c r="F239">
        <v>-97.518167000000005</v>
      </c>
      <c r="H239">
        <v>45.75</v>
      </c>
    </row>
    <row r="240" spans="1:36">
      <c r="A240" t="s">
        <v>200</v>
      </c>
      <c r="B240" t="s">
        <v>6</v>
      </c>
      <c r="C240" t="s">
        <v>10</v>
      </c>
      <c r="D240">
        <v>2183</v>
      </c>
      <c r="E240">
        <v>18.853567000000002</v>
      </c>
      <c r="F240">
        <v>-97.592600000000004</v>
      </c>
      <c r="H240">
        <v>58.5</v>
      </c>
    </row>
    <row r="241" spans="1:37">
      <c r="A241" t="s">
        <v>201</v>
      </c>
      <c r="B241" t="s">
        <v>6</v>
      </c>
      <c r="C241" t="s">
        <v>8</v>
      </c>
      <c r="D241">
        <v>2245</v>
      </c>
      <c r="E241">
        <v>19.132289</v>
      </c>
      <c r="F241">
        <v>-98.244189000000006</v>
      </c>
      <c r="M241">
        <v>16.75</v>
      </c>
    </row>
    <row r="242" spans="1:37">
      <c r="A242" t="s">
        <v>202</v>
      </c>
      <c r="B242" t="s">
        <v>6</v>
      </c>
      <c r="C242" t="s">
        <v>8</v>
      </c>
      <c r="D242">
        <v>2448.1999999999998</v>
      </c>
      <c r="E242">
        <v>19.337592000000001</v>
      </c>
      <c r="F242">
        <v>-98.519526999999997</v>
      </c>
      <c r="AJ242">
        <v>75.33</v>
      </c>
    </row>
    <row r="243" spans="1:37">
      <c r="A243" t="s">
        <v>202</v>
      </c>
      <c r="B243" t="s">
        <v>6</v>
      </c>
      <c r="C243" t="s">
        <v>8</v>
      </c>
      <c r="D243">
        <v>2225.75</v>
      </c>
      <c r="E243">
        <v>19.241223999999999</v>
      </c>
      <c r="F243">
        <v>-98.378558999999996</v>
      </c>
      <c r="AJ243">
        <v>85</v>
      </c>
    </row>
    <row r="244" spans="1:37">
      <c r="A244" t="s">
        <v>203</v>
      </c>
      <c r="B244" t="s">
        <v>6</v>
      </c>
      <c r="C244" t="s">
        <v>8</v>
      </c>
      <c r="D244">
        <v>2190.92</v>
      </c>
      <c r="E244">
        <v>18.998394000000001</v>
      </c>
      <c r="F244">
        <v>-98.439331999999993</v>
      </c>
      <c r="AJ244">
        <v>63.33</v>
      </c>
    </row>
    <row r="245" spans="1:37">
      <c r="A245" t="s">
        <v>204</v>
      </c>
      <c r="B245" t="s">
        <v>6</v>
      </c>
      <c r="C245" t="s">
        <v>8</v>
      </c>
      <c r="D245">
        <v>2371.98</v>
      </c>
      <c r="E245">
        <v>19.244042</v>
      </c>
      <c r="F245">
        <v>-98.490303999999995</v>
      </c>
      <c r="AJ245">
        <v>22</v>
      </c>
    </row>
    <row r="246" spans="1:37">
      <c r="A246" t="s">
        <v>205</v>
      </c>
      <c r="B246" t="s">
        <v>6</v>
      </c>
      <c r="C246" t="s">
        <v>8</v>
      </c>
      <c r="D246">
        <v>2686.8</v>
      </c>
      <c r="E246">
        <v>19.190919999999998</v>
      </c>
      <c r="F246">
        <v>-98.527158999999997</v>
      </c>
      <c r="AJ246">
        <v>150</v>
      </c>
    </row>
    <row r="247" spans="1:37">
      <c r="A247" t="s">
        <v>206</v>
      </c>
      <c r="B247" t="s">
        <v>6</v>
      </c>
      <c r="C247" t="s">
        <v>8</v>
      </c>
      <c r="D247">
        <v>2280.5</v>
      </c>
      <c r="E247">
        <v>19.282444000000002</v>
      </c>
      <c r="F247">
        <v>-98.456326000000004</v>
      </c>
      <c r="AJ247">
        <v>23</v>
      </c>
    </row>
    <row r="248" spans="1:37">
      <c r="A248" t="s">
        <v>207</v>
      </c>
      <c r="B248" t="s">
        <v>6</v>
      </c>
      <c r="C248" t="s">
        <v>8</v>
      </c>
      <c r="D248">
        <v>2280.87</v>
      </c>
      <c r="E248">
        <v>19.150752000000001</v>
      </c>
      <c r="F248">
        <v>-98.414503999999994</v>
      </c>
      <c r="AJ248">
        <v>24.54</v>
      </c>
    </row>
    <row r="249" spans="1:37">
      <c r="A249" t="s">
        <v>208</v>
      </c>
      <c r="B249" t="s">
        <v>6</v>
      </c>
      <c r="C249" t="s">
        <v>8</v>
      </c>
      <c r="D249">
        <v>2111</v>
      </c>
      <c r="E249">
        <v>19.024208000000002</v>
      </c>
      <c r="F249">
        <v>-98.218621999999996</v>
      </c>
      <c r="W249">
        <v>49.57</v>
      </c>
      <c r="X249">
        <v>46.11</v>
      </c>
      <c r="Y249">
        <v>41.31</v>
      </c>
      <c r="Z249">
        <v>40.35</v>
      </c>
      <c r="AA249">
        <v>38.96</v>
      </c>
      <c r="AB249">
        <v>36.520000000000003</v>
      </c>
      <c r="AC249">
        <v>29.91</v>
      </c>
      <c r="AD249">
        <v>32.53</v>
      </c>
      <c r="AE249">
        <v>37.43</v>
      </c>
      <c r="AF249">
        <v>38.909999999999997</v>
      </c>
      <c r="AG249">
        <v>35.46</v>
      </c>
      <c r="AH249">
        <v>40.909999999999997</v>
      </c>
      <c r="AI249">
        <v>42.39</v>
      </c>
      <c r="AJ249">
        <v>41.12</v>
      </c>
    </row>
    <row r="250" spans="1:37">
      <c r="A250" t="s">
        <v>209</v>
      </c>
      <c r="B250" t="s">
        <v>6</v>
      </c>
      <c r="C250" t="s">
        <v>63</v>
      </c>
      <c r="D250">
        <v>2363.9</v>
      </c>
      <c r="E250">
        <v>19.372294</v>
      </c>
      <c r="F250">
        <v>-97.344109000000003</v>
      </c>
      <c r="G250">
        <v>23.94</v>
      </c>
      <c r="H250">
        <v>24.21</v>
      </c>
      <c r="J250">
        <v>24.18</v>
      </c>
      <c r="K250">
        <v>24.24</v>
      </c>
      <c r="L250">
        <v>24.43</v>
      </c>
      <c r="M250">
        <v>24.83</v>
      </c>
      <c r="N250">
        <v>25.67</v>
      </c>
      <c r="O250">
        <v>25.44</v>
      </c>
      <c r="P250">
        <v>25.82</v>
      </c>
      <c r="Q250">
        <v>26.08</v>
      </c>
      <c r="R250">
        <v>26.34</v>
      </c>
      <c r="S250">
        <v>26.53</v>
      </c>
      <c r="V250">
        <v>27.61</v>
      </c>
      <c r="W250">
        <v>27.86</v>
      </c>
      <c r="X250">
        <v>26.73</v>
      </c>
      <c r="AA250">
        <v>29.43</v>
      </c>
      <c r="AB250">
        <v>30.09</v>
      </c>
      <c r="AC250">
        <v>28.87</v>
      </c>
      <c r="AE250">
        <v>28.42</v>
      </c>
      <c r="AF250">
        <v>29.01</v>
      </c>
      <c r="AG250">
        <v>29.14</v>
      </c>
      <c r="AH250">
        <v>30.76</v>
      </c>
      <c r="AI250">
        <v>31.14</v>
      </c>
      <c r="AK250">
        <v>37</v>
      </c>
    </row>
    <row r="251" spans="1:37">
      <c r="A251" t="s">
        <v>210</v>
      </c>
      <c r="B251" t="s">
        <v>6</v>
      </c>
      <c r="C251" t="s">
        <v>63</v>
      </c>
      <c r="D251">
        <v>2333.6999999999998</v>
      </c>
      <c r="E251">
        <v>19.432245999999999</v>
      </c>
      <c r="F251">
        <v>-97.381207000000003</v>
      </c>
      <c r="G251">
        <v>11.49</v>
      </c>
      <c r="J251">
        <v>12.24</v>
      </c>
      <c r="K251">
        <v>11.44</v>
      </c>
      <c r="L251">
        <v>11.62</v>
      </c>
      <c r="M251">
        <v>11.68</v>
      </c>
      <c r="N251">
        <v>12.14</v>
      </c>
      <c r="O251">
        <v>12.38</v>
      </c>
      <c r="P251">
        <v>12.18</v>
      </c>
      <c r="Q251">
        <v>12.06</v>
      </c>
      <c r="R251">
        <v>11.87</v>
      </c>
      <c r="S251">
        <v>11.94</v>
      </c>
      <c r="V251">
        <v>13.28</v>
      </c>
      <c r="W251">
        <v>13.41</v>
      </c>
      <c r="X251">
        <v>12.05</v>
      </c>
      <c r="AA251">
        <v>15.64</v>
      </c>
      <c r="AB251">
        <v>20.46</v>
      </c>
      <c r="AC251">
        <v>13.43</v>
      </c>
      <c r="AE251">
        <v>13.21</v>
      </c>
      <c r="AF251">
        <v>13.51</v>
      </c>
      <c r="AG251">
        <v>13.64</v>
      </c>
      <c r="AH251">
        <v>14.18</v>
      </c>
      <c r="AI251">
        <v>14.47</v>
      </c>
    </row>
    <row r="252" spans="1:37">
      <c r="A252" t="s">
        <v>211</v>
      </c>
      <c r="B252" t="s">
        <v>6</v>
      </c>
      <c r="C252" t="s">
        <v>10</v>
      </c>
      <c r="D252">
        <v>2134</v>
      </c>
      <c r="E252">
        <v>18.926783</v>
      </c>
      <c r="F252">
        <v>-97.672183000000004</v>
      </c>
      <c r="H252">
        <v>39.25</v>
      </c>
    </row>
    <row r="253" spans="1:37">
      <c r="A253" t="s">
        <v>212</v>
      </c>
      <c r="B253" t="s">
        <v>6</v>
      </c>
      <c r="C253" t="s">
        <v>10</v>
      </c>
      <c r="D253">
        <v>2105</v>
      </c>
      <c r="E253">
        <v>18.944267</v>
      </c>
      <c r="F253">
        <v>-97.708716999999993</v>
      </c>
      <c r="H253">
        <v>35.450000000000003</v>
      </c>
    </row>
    <row r="254" spans="1:37">
      <c r="A254" t="s">
        <v>213</v>
      </c>
      <c r="B254" t="s">
        <v>6</v>
      </c>
      <c r="C254" t="s">
        <v>10</v>
      </c>
      <c r="D254">
        <v>2141</v>
      </c>
      <c r="E254">
        <v>18.953267</v>
      </c>
      <c r="F254">
        <v>-97.684366999999995</v>
      </c>
      <c r="H254">
        <v>31.8</v>
      </c>
    </row>
    <row r="255" spans="1:37">
      <c r="A255" t="s">
        <v>214</v>
      </c>
      <c r="B255" t="s">
        <v>6</v>
      </c>
      <c r="C255" t="s">
        <v>10</v>
      </c>
      <c r="D255">
        <v>2150</v>
      </c>
      <c r="E255">
        <v>18.978149999999999</v>
      </c>
      <c r="F255">
        <v>-97.696332999999996</v>
      </c>
      <c r="H255">
        <v>39.299999999999997</v>
      </c>
    </row>
    <row r="256" spans="1:37">
      <c r="A256" t="s">
        <v>215</v>
      </c>
      <c r="B256" t="s">
        <v>6</v>
      </c>
      <c r="C256" t="s">
        <v>10</v>
      </c>
      <c r="D256">
        <v>2182</v>
      </c>
      <c r="E256">
        <v>18.952000000000002</v>
      </c>
      <c r="F256">
        <v>-97.646950000000004</v>
      </c>
      <c r="H256">
        <v>30.4</v>
      </c>
    </row>
    <row r="257" spans="1:36">
      <c r="A257" t="s">
        <v>216</v>
      </c>
      <c r="B257" t="s">
        <v>6</v>
      </c>
      <c r="C257" t="s">
        <v>10</v>
      </c>
      <c r="D257">
        <v>2152</v>
      </c>
      <c r="E257">
        <v>18.88325</v>
      </c>
      <c r="F257">
        <v>-97.652933000000004</v>
      </c>
      <c r="H257">
        <v>54</v>
      </c>
    </row>
    <row r="258" spans="1:36">
      <c r="A258" t="s">
        <v>217</v>
      </c>
      <c r="B258" t="s">
        <v>6</v>
      </c>
      <c r="C258" t="s">
        <v>10</v>
      </c>
      <c r="D258">
        <v>2201</v>
      </c>
      <c r="E258">
        <v>18.89115</v>
      </c>
      <c r="F258">
        <v>-97.588982999999999</v>
      </c>
      <c r="H258">
        <v>27.6</v>
      </c>
    </row>
    <row r="259" spans="1:36">
      <c r="A259" t="s">
        <v>218</v>
      </c>
      <c r="B259" t="s">
        <v>6</v>
      </c>
      <c r="C259" t="s">
        <v>10</v>
      </c>
      <c r="D259">
        <v>2198</v>
      </c>
      <c r="E259">
        <v>18.918600000000001</v>
      </c>
      <c r="F259">
        <v>-97.621167</v>
      </c>
      <c r="H259">
        <v>35.700000000000003</v>
      </c>
    </row>
    <row r="260" spans="1:36">
      <c r="A260" t="s">
        <v>219</v>
      </c>
      <c r="B260" t="s">
        <v>6</v>
      </c>
      <c r="C260" t="s">
        <v>10</v>
      </c>
      <c r="D260">
        <v>2198</v>
      </c>
      <c r="E260">
        <v>18.918600000000001</v>
      </c>
      <c r="F260">
        <v>-97.621167</v>
      </c>
      <c r="H260">
        <v>34.5</v>
      </c>
    </row>
    <row r="261" spans="1:36">
      <c r="A261" t="s">
        <v>220</v>
      </c>
      <c r="B261" t="s">
        <v>6</v>
      </c>
      <c r="C261" t="s">
        <v>7</v>
      </c>
      <c r="D261">
        <v>1899.47</v>
      </c>
      <c r="E261">
        <v>18.889806</v>
      </c>
      <c r="F261">
        <v>-98.483138999999994</v>
      </c>
      <c r="AJ261">
        <v>66</v>
      </c>
    </row>
    <row r="262" spans="1:36">
      <c r="A262" t="s">
        <v>221</v>
      </c>
      <c r="B262" t="s">
        <v>6</v>
      </c>
      <c r="C262" t="s">
        <v>8</v>
      </c>
      <c r="D262">
        <v>2119</v>
      </c>
      <c r="E262">
        <v>19.056833999999998</v>
      </c>
      <c r="F262">
        <v>-98.256018999999995</v>
      </c>
      <c r="Z262">
        <v>75.86</v>
      </c>
      <c r="AA262">
        <v>76.61</v>
      </c>
      <c r="AB262">
        <v>68.86</v>
      </c>
      <c r="AC262">
        <v>74.91</v>
      </c>
      <c r="AD262">
        <v>76.87</v>
      </c>
      <c r="AE262">
        <v>76.38</v>
      </c>
      <c r="AF262">
        <v>78.930000000000007</v>
      </c>
      <c r="AG262">
        <v>79.59</v>
      </c>
      <c r="AH262">
        <v>77.28</v>
      </c>
      <c r="AI262">
        <v>82.63</v>
      </c>
      <c r="AJ262">
        <v>80.099999999999994</v>
      </c>
    </row>
    <row r="263" spans="1:36">
      <c r="A263" t="s">
        <v>222</v>
      </c>
      <c r="B263" t="s">
        <v>6</v>
      </c>
      <c r="C263" t="s">
        <v>8</v>
      </c>
      <c r="D263">
        <v>2118</v>
      </c>
      <c r="E263">
        <v>19.033439000000001</v>
      </c>
      <c r="F263">
        <v>-98.163758000000001</v>
      </c>
      <c r="M263">
        <v>86.4</v>
      </c>
    </row>
    <row r="264" spans="1:36">
      <c r="A264" t="s">
        <v>223</v>
      </c>
      <c r="B264" t="s">
        <v>6</v>
      </c>
      <c r="C264" t="s">
        <v>8</v>
      </c>
      <c r="D264">
        <v>2243.66</v>
      </c>
      <c r="E264">
        <v>19.264424000000002</v>
      </c>
      <c r="F264">
        <v>-98.410757000000004</v>
      </c>
      <c r="AJ264">
        <v>13</v>
      </c>
    </row>
    <row r="265" spans="1:36">
      <c r="A265" t="s">
        <v>224</v>
      </c>
      <c r="B265" t="s">
        <v>6</v>
      </c>
      <c r="C265" t="s">
        <v>8</v>
      </c>
      <c r="D265">
        <v>2170</v>
      </c>
      <c r="E265">
        <v>19.032077999999998</v>
      </c>
      <c r="F265">
        <v>-98.195650000000001</v>
      </c>
      <c r="M265">
        <v>23.92</v>
      </c>
    </row>
    <row r="266" spans="1:36">
      <c r="A266" t="s">
        <v>225</v>
      </c>
      <c r="B266" t="s">
        <v>6</v>
      </c>
      <c r="C266" t="s">
        <v>8</v>
      </c>
      <c r="D266">
        <v>2141</v>
      </c>
      <c r="E266">
        <v>19.005478</v>
      </c>
      <c r="F266">
        <v>-98.174811000000005</v>
      </c>
      <c r="M266">
        <v>70.73</v>
      </c>
    </row>
    <row r="267" spans="1:36">
      <c r="A267" t="s">
        <v>225</v>
      </c>
      <c r="B267" t="s">
        <v>6</v>
      </c>
      <c r="C267" t="s">
        <v>8</v>
      </c>
      <c r="D267">
        <v>2127</v>
      </c>
      <c r="E267">
        <v>19.002068999999999</v>
      </c>
      <c r="F267">
        <v>-98.164377999999999</v>
      </c>
      <c r="M267">
        <v>124.39</v>
      </c>
    </row>
    <row r="268" spans="1:36">
      <c r="A268" t="s">
        <v>226</v>
      </c>
      <c r="B268" t="s">
        <v>6</v>
      </c>
      <c r="C268" t="s">
        <v>8</v>
      </c>
      <c r="D268">
        <v>2198</v>
      </c>
      <c r="E268">
        <v>19.0913</v>
      </c>
      <c r="F268">
        <v>-98.180218999999994</v>
      </c>
      <c r="M268">
        <v>29.96</v>
      </c>
    </row>
    <row r="269" spans="1:36">
      <c r="A269" t="s">
        <v>227</v>
      </c>
      <c r="B269" t="s">
        <v>6</v>
      </c>
      <c r="C269" t="s">
        <v>8</v>
      </c>
      <c r="D269">
        <v>2290</v>
      </c>
      <c r="E269">
        <v>19.107413999999999</v>
      </c>
      <c r="F269">
        <v>-98.155033000000003</v>
      </c>
      <c r="V269">
        <v>121.94</v>
      </c>
      <c r="W269">
        <v>122.33</v>
      </c>
      <c r="X269">
        <v>122.04</v>
      </c>
      <c r="Y269">
        <v>123.42</v>
      </c>
      <c r="Z269">
        <v>123.51</v>
      </c>
      <c r="AA269">
        <v>124.17</v>
      </c>
      <c r="AD269">
        <v>124.66</v>
      </c>
      <c r="AE269">
        <v>125.38</v>
      </c>
      <c r="AF269">
        <v>126.05</v>
      </c>
      <c r="AG269">
        <v>126.83</v>
      </c>
      <c r="AH269">
        <v>127.48</v>
      </c>
      <c r="AI269">
        <v>128.41</v>
      </c>
      <c r="AJ269">
        <v>128.4</v>
      </c>
    </row>
    <row r="270" spans="1:36">
      <c r="A270" t="s">
        <v>228</v>
      </c>
      <c r="B270" t="s">
        <v>6</v>
      </c>
      <c r="C270" t="s">
        <v>8</v>
      </c>
      <c r="D270">
        <v>2120</v>
      </c>
      <c r="E270">
        <v>18.990272999999998</v>
      </c>
      <c r="F270">
        <v>-98.205228000000005</v>
      </c>
      <c r="Z270">
        <v>80.8</v>
      </c>
      <c r="AA270">
        <v>87.22</v>
      </c>
      <c r="AB270">
        <v>90.18</v>
      </c>
      <c r="AC270">
        <v>90.01</v>
      </c>
      <c r="AD270">
        <v>98.48</v>
      </c>
      <c r="AE270">
        <v>99.7</v>
      </c>
      <c r="AF270">
        <v>96.62</v>
      </c>
      <c r="AG270">
        <v>99.01</v>
      </c>
      <c r="AH270">
        <v>113.57</v>
      </c>
      <c r="AI270">
        <v>121.94</v>
      </c>
      <c r="AJ270">
        <v>114.74</v>
      </c>
    </row>
    <row r="271" spans="1:36">
      <c r="A271" t="s">
        <v>229</v>
      </c>
      <c r="B271" t="s">
        <v>6</v>
      </c>
      <c r="C271" t="s">
        <v>8</v>
      </c>
      <c r="D271">
        <v>2264</v>
      </c>
      <c r="E271">
        <v>19.152077999999999</v>
      </c>
      <c r="F271">
        <v>-98.254219000000006</v>
      </c>
      <c r="M271">
        <v>9.66</v>
      </c>
    </row>
    <row r="272" spans="1:36">
      <c r="A272" t="s">
        <v>230</v>
      </c>
      <c r="B272" t="s">
        <v>6</v>
      </c>
      <c r="C272" t="s">
        <v>10</v>
      </c>
      <c r="D272">
        <v>2088</v>
      </c>
      <c r="E272">
        <v>18.905899999999999</v>
      </c>
      <c r="F272">
        <v>-97.898933</v>
      </c>
      <c r="H272">
        <v>36.090000000000003</v>
      </c>
    </row>
    <row r="273" spans="1:13">
      <c r="A273" t="s">
        <v>231</v>
      </c>
      <c r="B273" t="s">
        <v>6</v>
      </c>
      <c r="C273" t="s">
        <v>8</v>
      </c>
      <c r="D273">
        <v>2150</v>
      </c>
      <c r="E273">
        <v>19.012578000000001</v>
      </c>
      <c r="F273">
        <v>-98.181781000000001</v>
      </c>
      <c r="M273">
        <v>36.549999999999997</v>
      </c>
    </row>
    <row r="274" spans="1:13">
      <c r="A274" t="s">
        <v>232</v>
      </c>
      <c r="B274" t="s">
        <v>6</v>
      </c>
      <c r="C274" t="s">
        <v>8</v>
      </c>
      <c r="D274">
        <v>2211</v>
      </c>
      <c r="E274">
        <v>19.05</v>
      </c>
      <c r="F274">
        <v>-98.213049999999996</v>
      </c>
      <c r="M274">
        <v>32.950000000000003</v>
      </c>
    </row>
    <row r="275" spans="1:13">
      <c r="A275" t="s">
        <v>233</v>
      </c>
      <c r="B275" t="s">
        <v>6</v>
      </c>
      <c r="C275" t="s">
        <v>8</v>
      </c>
      <c r="D275">
        <v>2200</v>
      </c>
      <c r="E275">
        <v>19.070208000000001</v>
      </c>
      <c r="F275">
        <v>-98.165469000000002</v>
      </c>
      <c r="M275">
        <v>94</v>
      </c>
    </row>
    <row r="276" spans="1:13">
      <c r="A276" t="s">
        <v>234</v>
      </c>
      <c r="B276" t="s">
        <v>6</v>
      </c>
      <c r="C276" t="s">
        <v>8</v>
      </c>
      <c r="D276">
        <v>2193</v>
      </c>
      <c r="E276">
        <v>19.035978</v>
      </c>
      <c r="F276">
        <v>-98.214068999999995</v>
      </c>
      <c r="M276">
        <v>46.51</v>
      </c>
    </row>
    <row r="277" spans="1:13">
      <c r="A277" t="s">
        <v>235</v>
      </c>
      <c r="B277" t="s">
        <v>6</v>
      </c>
      <c r="C277" t="s">
        <v>8</v>
      </c>
      <c r="D277">
        <v>2175</v>
      </c>
      <c r="E277">
        <v>19.032077999999998</v>
      </c>
      <c r="F277">
        <v>-98.215299999999999</v>
      </c>
      <c r="M277">
        <v>31.4</v>
      </c>
    </row>
    <row r="278" spans="1:13">
      <c r="A278" t="s">
        <v>236</v>
      </c>
      <c r="B278" t="s">
        <v>6</v>
      </c>
      <c r="C278" t="s">
        <v>8</v>
      </c>
      <c r="D278">
        <v>2275</v>
      </c>
      <c r="E278">
        <v>19.144753000000001</v>
      </c>
      <c r="F278">
        <v>-98.253518999999997</v>
      </c>
      <c r="M278">
        <v>25.9</v>
      </c>
    </row>
    <row r="279" spans="1:13">
      <c r="A279" t="s">
        <v>237</v>
      </c>
      <c r="B279" t="s">
        <v>6</v>
      </c>
      <c r="C279" t="s">
        <v>8</v>
      </c>
      <c r="D279">
        <v>2185</v>
      </c>
      <c r="E279">
        <v>19.101489000000001</v>
      </c>
      <c r="F279">
        <v>-98.175010999999998</v>
      </c>
      <c r="M279">
        <v>1.85</v>
      </c>
    </row>
    <row r="280" spans="1:13">
      <c r="A280" t="s">
        <v>238</v>
      </c>
      <c r="B280" t="s">
        <v>6</v>
      </c>
      <c r="C280" t="s">
        <v>8</v>
      </c>
      <c r="D280">
        <v>2160</v>
      </c>
      <c r="E280">
        <v>19.065868999999999</v>
      </c>
      <c r="F280">
        <v>-98.133157999999995</v>
      </c>
      <c r="M280">
        <v>63.25</v>
      </c>
    </row>
    <row r="281" spans="1:13">
      <c r="A281" t="s">
        <v>239</v>
      </c>
      <c r="B281" t="s">
        <v>6</v>
      </c>
      <c r="C281" t="s">
        <v>8</v>
      </c>
      <c r="D281">
        <v>2318</v>
      </c>
      <c r="E281">
        <v>19.091258</v>
      </c>
      <c r="F281">
        <v>-98.255200000000002</v>
      </c>
      <c r="M281">
        <v>34</v>
      </c>
    </row>
    <row r="282" spans="1:13">
      <c r="A282" t="s">
        <v>240</v>
      </c>
      <c r="B282" t="s">
        <v>6</v>
      </c>
      <c r="C282" t="s">
        <v>8</v>
      </c>
      <c r="D282">
        <v>2470</v>
      </c>
      <c r="E282">
        <v>19.125678000000001</v>
      </c>
      <c r="F282">
        <v>-98.300469000000007</v>
      </c>
      <c r="M282">
        <v>42.65</v>
      </c>
    </row>
    <row r="283" spans="1:13">
      <c r="A283" t="s">
        <v>241</v>
      </c>
      <c r="B283" t="s">
        <v>6</v>
      </c>
      <c r="C283" t="s">
        <v>8</v>
      </c>
      <c r="D283">
        <v>2300</v>
      </c>
      <c r="E283">
        <v>19.151357999999998</v>
      </c>
      <c r="F283">
        <v>-98.264831000000001</v>
      </c>
      <c r="M283">
        <v>21</v>
      </c>
    </row>
    <row r="284" spans="1:13">
      <c r="A284" t="s">
        <v>241</v>
      </c>
      <c r="B284" t="s">
        <v>6</v>
      </c>
      <c r="C284" t="s">
        <v>8</v>
      </c>
      <c r="D284">
        <v>2310</v>
      </c>
      <c r="E284">
        <v>19.145727999999998</v>
      </c>
      <c r="F284">
        <v>-98.272210999999999</v>
      </c>
      <c r="M284">
        <v>25.75</v>
      </c>
    </row>
    <row r="285" spans="1:13">
      <c r="A285" t="s">
        <v>242</v>
      </c>
      <c r="B285" t="s">
        <v>6</v>
      </c>
      <c r="C285" t="s">
        <v>8</v>
      </c>
      <c r="D285">
        <v>2340</v>
      </c>
      <c r="E285">
        <v>19.115957999999999</v>
      </c>
      <c r="F285">
        <v>-98.275988999999996</v>
      </c>
      <c r="M285">
        <v>0.1</v>
      </c>
    </row>
    <row r="286" spans="1:13">
      <c r="A286" t="s">
        <v>243</v>
      </c>
      <c r="B286" t="s">
        <v>6</v>
      </c>
      <c r="C286" t="s">
        <v>8</v>
      </c>
      <c r="D286">
        <v>2150</v>
      </c>
      <c r="E286">
        <v>19.025058000000001</v>
      </c>
      <c r="F286">
        <v>-98.193781000000001</v>
      </c>
      <c r="M286">
        <v>21.77</v>
      </c>
    </row>
    <row r="287" spans="1:13">
      <c r="A287" t="s">
        <v>244</v>
      </c>
      <c r="B287" t="s">
        <v>6</v>
      </c>
      <c r="C287" t="s">
        <v>8</v>
      </c>
      <c r="D287">
        <v>2300</v>
      </c>
      <c r="E287">
        <v>19.123200000000001</v>
      </c>
      <c r="F287">
        <v>-98.261819000000003</v>
      </c>
      <c r="M287">
        <v>34.5</v>
      </c>
    </row>
    <row r="288" spans="1:13">
      <c r="A288" t="s">
        <v>245</v>
      </c>
      <c r="B288" t="s">
        <v>6</v>
      </c>
      <c r="C288" t="s">
        <v>8</v>
      </c>
      <c r="D288">
        <v>2390</v>
      </c>
      <c r="E288">
        <v>19.140319000000002</v>
      </c>
      <c r="F288">
        <v>-98.285289000000006</v>
      </c>
      <c r="M288">
        <v>52</v>
      </c>
    </row>
    <row r="289" spans="1:36">
      <c r="A289" t="s">
        <v>246</v>
      </c>
      <c r="B289" t="s">
        <v>6</v>
      </c>
      <c r="C289" t="s">
        <v>8</v>
      </c>
      <c r="D289">
        <v>2214.3200000000002</v>
      </c>
      <c r="E289">
        <v>19.058458999999999</v>
      </c>
      <c r="F289">
        <v>-98.396085999999997</v>
      </c>
      <c r="AJ289">
        <v>73.819999999999993</v>
      </c>
    </row>
    <row r="290" spans="1:36">
      <c r="A290" t="s">
        <v>247</v>
      </c>
      <c r="B290" t="s">
        <v>6</v>
      </c>
      <c r="C290" t="s">
        <v>8</v>
      </c>
      <c r="D290">
        <v>2450</v>
      </c>
      <c r="E290">
        <v>19.174710999999999</v>
      </c>
      <c r="F290">
        <v>-98.313338999999999</v>
      </c>
      <c r="M290">
        <v>118.33</v>
      </c>
    </row>
    <row r="291" spans="1:36">
      <c r="A291" t="s">
        <v>248</v>
      </c>
      <c r="B291" t="s">
        <v>6</v>
      </c>
      <c r="C291" t="s">
        <v>63</v>
      </c>
      <c r="D291">
        <v>2391</v>
      </c>
      <c r="E291">
        <v>19.183857</v>
      </c>
      <c r="F291">
        <v>-97.551725000000005</v>
      </c>
      <c r="AH291">
        <v>40</v>
      </c>
    </row>
    <row r="292" spans="1:36">
      <c r="A292" t="s">
        <v>249</v>
      </c>
      <c r="B292" t="s">
        <v>6</v>
      </c>
      <c r="C292" t="s">
        <v>8</v>
      </c>
      <c r="D292">
        <v>2220</v>
      </c>
      <c r="E292">
        <v>19.101227999999999</v>
      </c>
      <c r="F292">
        <v>-98.204639</v>
      </c>
      <c r="M292">
        <v>34.049999999999997</v>
      </c>
    </row>
    <row r="293" spans="1:36">
      <c r="A293" t="s">
        <v>250</v>
      </c>
      <c r="B293" t="s">
        <v>6</v>
      </c>
      <c r="C293" t="s">
        <v>8</v>
      </c>
      <c r="D293">
        <v>2191</v>
      </c>
      <c r="E293">
        <v>19.051497999999999</v>
      </c>
      <c r="F293">
        <v>-98.151814999999999</v>
      </c>
      <c r="V293">
        <v>77.61</v>
      </c>
      <c r="W293">
        <v>74.59</v>
      </c>
      <c r="X293">
        <v>71.489999999999995</v>
      </c>
      <c r="Y293">
        <v>73.930000000000007</v>
      </c>
      <c r="Z293">
        <v>70.95</v>
      </c>
      <c r="AA293">
        <v>73.959999999999994</v>
      </c>
      <c r="AB293">
        <v>72.73</v>
      </c>
      <c r="AC293">
        <v>73.42</v>
      </c>
      <c r="AD293">
        <v>73.930000000000007</v>
      </c>
      <c r="AE293">
        <v>73.25</v>
      </c>
      <c r="AF293">
        <v>73.69</v>
      </c>
      <c r="AG293">
        <v>74.209999999999994</v>
      </c>
      <c r="AH293">
        <v>74.87</v>
      </c>
      <c r="AI293">
        <v>74.62</v>
      </c>
      <c r="AJ293">
        <v>74.760000000000005</v>
      </c>
    </row>
    <row r="294" spans="1:36">
      <c r="A294" t="s">
        <v>251</v>
      </c>
      <c r="B294" t="s">
        <v>6</v>
      </c>
      <c r="C294" t="s">
        <v>10</v>
      </c>
      <c r="D294">
        <v>2050</v>
      </c>
      <c r="E294">
        <v>18.901900000000001</v>
      </c>
      <c r="F294">
        <v>-97.779683000000006</v>
      </c>
      <c r="H294">
        <v>52.47</v>
      </c>
    </row>
    <row r="295" spans="1:36">
      <c r="A295" t="s">
        <v>251</v>
      </c>
      <c r="B295" t="s">
        <v>6</v>
      </c>
      <c r="C295" t="s">
        <v>10</v>
      </c>
      <c r="D295">
        <v>2047</v>
      </c>
      <c r="E295">
        <v>18.932917</v>
      </c>
      <c r="F295">
        <v>-97.787733000000003</v>
      </c>
      <c r="H295">
        <v>51</v>
      </c>
    </row>
    <row r="296" spans="1:36">
      <c r="A296" t="s">
        <v>252</v>
      </c>
      <c r="B296" t="s">
        <v>6</v>
      </c>
      <c r="C296" t="s">
        <v>8</v>
      </c>
      <c r="D296">
        <v>2480</v>
      </c>
      <c r="E296">
        <v>19.062927999999999</v>
      </c>
      <c r="F296">
        <v>-98.283638999999994</v>
      </c>
      <c r="M296">
        <v>114.2</v>
      </c>
    </row>
    <row r="297" spans="1:36">
      <c r="A297" t="s">
        <v>253</v>
      </c>
      <c r="B297" t="s">
        <v>6</v>
      </c>
      <c r="C297" t="s">
        <v>10</v>
      </c>
      <c r="D297">
        <v>1942</v>
      </c>
      <c r="E297">
        <v>18.821017000000001</v>
      </c>
      <c r="F297">
        <v>-97.892482999999999</v>
      </c>
      <c r="H297">
        <v>8.6</v>
      </c>
    </row>
    <row r="298" spans="1:36">
      <c r="A298" t="s">
        <v>254</v>
      </c>
      <c r="B298" t="s">
        <v>6</v>
      </c>
      <c r="C298" t="s">
        <v>10</v>
      </c>
      <c r="D298">
        <v>1900</v>
      </c>
      <c r="E298">
        <v>18.763166999999999</v>
      </c>
      <c r="F298">
        <v>-97.884483000000003</v>
      </c>
      <c r="H298">
        <v>40.5</v>
      </c>
    </row>
    <row r="299" spans="1:36">
      <c r="A299" t="s">
        <v>255</v>
      </c>
      <c r="B299" t="s">
        <v>6</v>
      </c>
      <c r="C299" t="s">
        <v>10</v>
      </c>
      <c r="D299">
        <v>2220</v>
      </c>
      <c r="E299">
        <v>18.962216999999999</v>
      </c>
      <c r="F299">
        <v>-97.925983000000002</v>
      </c>
      <c r="H299">
        <v>43.56</v>
      </c>
    </row>
    <row r="300" spans="1:36">
      <c r="A300" t="s">
        <v>256</v>
      </c>
      <c r="B300" t="s">
        <v>6</v>
      </c>
      <c r="C300" t="s">
        <v>8</v>
      </c>
      <c r="D300">
        <v>2245</v>
      </c>
      <c r="E300">
        <v>19.102077999999999</v>
      </c>
      <c r="F300">
        <v>-98.224900000000005</v>
      </c>
      <c r="M300">
        <v>30.1</v>
      </c>
    </row>
    <row r="301" spans="1:36">
      <c r="A301" t="s">
        <v>257</v>
      </c>
      <c r="B301" t="s">
        <v>6</v>
      </c>
      <c r="C301" t="s">
        <v>8</v>
      </c>
      <c r="D301">
        <v>2212</v>
      </c>
      <c r="E301">
        <v>19.088153999999999</v>
      </c>
      <c r="F301">
        <v>-98.186239</v>
      </c>
      <c r="X301">
        <v>80.790000000000006</v>
      </c>
      <c r="Y301">
        <v>87.77</v>
      </c>
      <c r="Z301">
        <v>82.83</v>
      </c>
      <c r="AA301">
        <v>86.29</v>
      </c>
      <c r="AB301">
        <v>92.13</v>
      </c>
      <c r="AC301">
        <v>90.16</v>
      </c>
      <c r="AD301">
        <v>92.12</v>
      </c>
      <c r="AE301">
        <v>93.98</v>
      </c>
      <c r="AF301">
        <v>92.22</v>
      </c>
      <c r="AG301">
        <v>92.94</v>
      </c>
      <c r="AH301">
        <v>94.34</v>
      </c>
      <c r="AI301">
        <v>94.91</v>
      </c>
      <c r="AJ301">
        <v>96.2</v>
      </c>
    </row>
    <row r="302" spans="1:36">
      <c r="A302" t="s">
        <v>258</v>
      </c>
      <c r="B302" t="s">
        <v>6</v>
      </c>
      <c r="C302" t="s">
        <v>10</v>
      </c>
      <c r="D302">
        <v>2065</v>
      </c>
      <c r="E302">
        <v>18.939499999999999</v>
      </c>
      <c r="F302">
        <v>-97.748867000000004</v>
      </c>
      <c r="H302">
        <v>35.06</v>
      </c>
    </row>
    <row r="303" spans="1:36">
      <c r="A303" t="s">
        <v>259</v>
      </c>
      <c r="B303" t="s">
        <v>6</v>
      </c>
      <c r="C303" t="s">
        <v>8</v>
      </c>
      <c r="D303">
        <v>2534.9899999999998</v>
      </c>
      <c r="E303">
        <v>19.33052</v>
      </c>
      <c r="F303">
        <v>-98.548451</v>
      </c>
      <c r="AJ303">
        <v>61.48</v>
      </c>
    </row>
    <row r="304" spans="1:36">
      <c r="A304" t="s">
        <v>260</v>
      </c>
      <c r="B304" t="s">
        <v>6</v>
      </c>
      <c r="C304" t="s">
        <v>8</v>
      </c>
      <c r="D304">
        <v>2214</v>
      </c>
      <c r="E304">
        <v>19.121789</v>
      </c>
      <c r="F304">
        <v>-98.221768999999995</v>
      </c>
      <c r="M304">
        <v>2.34</v>
      </c>
    </row>
    <row r="305" spans="1:13">
      <c r="A305" t="s">
        <v>260</v>
      </c>
      <c r="B305" t="s">
        <v>6</v>
      </c>
      <c r="C305" t="s">
        <v>8</v>
      </c>
      <c r="D305">
        <v>2218</v>
      </c>
      <c r="E305">
        <v>19.115349999999999</v>
      </c>
      <c r="F305">
        <v>-98.224219000000005</v>
      </c>
      <c r="M305">
        <v>4.03</v>
      </c>
    </row>
    <row r="306" spans="1:13">
      <c r="A306" t="s">
        <v>261</v>
      </c>
      <c r="B306" t="s">
        <v>6</v>
      </c>
      <c r="C306" t="s">
        <v>8</v>
      </c>
      <c r="D306">
        <v>2180</v>
      </c>
      <c r="E306">
        <v>19.061019000000002</v>
      </c>
      <c r="F306">
        <v>-98.174430999999998</v>
      </c>
      <c r="M306">
        <v>26.13</v>
      </c>
    </row>
    <row r="307" spans="1:13">
      <c r="A307" t="s">
        <v>262</v>
      </c>
      <c r="B307" t="s">
        <v>6</v>
      </c>
      <c r="C307" t="s">
        <v>8</v>
      </c>
      <c r="D307">
        <v>2273</v>
      </c>
      <c r="E307">
        <v>19.134208000000001</v>
      </c>
      <c r="F307">
        <v>-98.251728</v>
      </c>
      <c r="M307">
        <v>47.5</v>
      </c>
    </row>
    <row r="308" spans="1:13">
      <c r="A308" t="s">
        <v>263</v>
      </c>
      <c r="B308" t="s">
        <v>6</v>
      </c>
      <c r="C308" t="s">
        <v>8</v>
      </c>
      <c r="D308">
        <v>2305</v>
      </c>
      <c r="E308">
        <v>19.132999999999999</v>
      </c>
      <c r="F308">
        <v>-98.261968999999993</v>
      </c>
      <c r="M308">
        <v>34.28</v>
      </c>
    </row>
    <row r="309" spans="1:13">
      <c r="A309" t="s">
        <v>264</v>
      </c>
      <c r="B309" t="s">
        <v>6</v>
      </c>
      <c r="C309" t="s">
        <v>8</v>
      </c>
      <c r="D309">
        <v>2176</v>
      </c>
      <c r="E309">
        <v>19.012369</v>
      </c>
      <c r="F309">
        <v>-98.224339000000001</v>
      </c>
      <c r="M309">
        <v>93.4</v>
      </c>
    </row>
    <row r="310" spans="1:13">
      <c r="A310" t="s">
        <v>265</v>
      </c>
      <c r="B310" t="s">
        <v>6</v>
      </c>
      <c r="C310" t="s">
        <v>8</v>
      </c>
      <c r="D310">
        <v>2300</v>
      </c>
      <c r="E310">
        <v>19.043918999999999</v>
      </c>
      <c r="F310">
        <v>-98.063588999999993</v>
      </c>
      <c r="M310">
        <v>88.7</v>
      </c>
    </row>
    <row r="311" spans="1:13">
      <c r="A311" t="s">
        <v>266</v>
      </c>
      <c r="B311" t="s">
        <v>6</v>
      </c>
      <c r="C311" t="s">
        <v>8</v>
      </c>
      <c r="D311">
        <v>2205</v>
      </c>
      <c r="E311">
        <v>19.075108</v>
      </c>
      <c r="F311">
        <v>-98.212181000000001</v>
      </c>
      <c r="M311">
        <v>32.25</v>
      </c>
    </row>
    <row r="312" spans="1:13">
      <c r="A312" t="s">
        <v>267</v>
      </c>
      <c r="B312" t="s">
        <v>6</v>
      </c>
      <c r="C312" t="s">
        <v>10</v>
      </c>
      <c r="D312">
        <v>2019</v>
      </c>
      <c r="E312">
        <v>18.885732999999998</v>
      </c>
      <c r="F312">
        <v>-97.843850000000003</v>
      </c>
      <c r="H312">
        <v>23.12</v>
      </c>
    </row>
    <row r="313" spans="1:13">
      <c r="A313" t="s">
        <v>268</v>
      </c>
      <c r="B313" t="s">
        <v>6</v>
      </c>
      <c r="C313" t="s">
        <v>10</v>
      </c>
      <c r="D313">
        <v>1997</v>
      </c>
      <c r="E313">
        <v>18.849833</v>
      </c>
      <c r="F313">
        <v>-97.912700000000001</v>
      </c>
      <c r="H313">
        <v>49.59</v>
      </c>
    </row>
    <row r="314" spans="1:13">
      <c r="A314" t="s">
        <v>269</v>
      </c>
      <c r="B314" t="s">
        <v>6</v>
      </c>
      <c r="C314" t="s">
        <v>10</v>
      </c>
      <c r="D314">
        <v>2165</v>
      </c>
      <c r="E314">
        <v>18.936382999999999</v>
      </c>
      <c r="F314">
        <v>-97.978532999999999</v>
      </c>
      <c r="H314">
        <v>22.1</v>
      </c>
    </row>
    <row r="315" spans="1:13">
      <c r="A315" t="s">
        <v>270</v>
      </c>
      <c r="B315" t="s">
        <v>6</v>
      </c>
      <c r="C315" t="s">
        <v>10</v>
      </c>
      <c r="D315">
        <v>2171</v>
      </c>
      <c r="E315">
        <v>18.940417</v>
      </c>
      <c r="F315">
        <v>-97.940100000000001</v>
      </c>
      <c r="H315">
        <v>18.84</v>
      </c>
    </row>
    <row r="316" spans="1:13">
      <c r="A316" t="s">
        <v>271</v>
      </c>
      <c r="B316" t="s">
        <v>6</v>
      </c>
      <c r="C316" t="s">
        <v>10</v>
      </c>
      <c r="D316">
        <v>2185</v>
      </c>
      <c r="E316">
        <v>18.959016999999999</v>
      </c>
      <c r="F316">
        <v>-97.962199999999996</v>
      </c>
      <c r="H316">
        <v>33.72</v>
      </c>
    </row>
    <row r="317" spans="1:13">
      <c r="A317" t="s">
        <v>272</v>
      </c>
      <c r="B317" t="s">
        <v>6</v>
      </c>
      <c r="C317" t="s">
        <v>10</v>
      </c>
      <c r="D317">
        <v>1970</v>
      </c>
      <c r="E317">
        <v>18.788183</v>
      </c>
      <c r="F317">
        <v>-97.739800000000002</v>
      </c>
      <c r="H317">
        <v>78.5</v>
      </c>
    </row>
    <row r="318" spans="1:13">
      <c r="A318" t="s">
        <v>273</v>
      </c>
      <c r="B318" t="s">
        <v>6</v>
      </c>
      <c r="C318" t="s">
        <v>10</v>
      </c>
      <c r="D318">
        <v>1978</v>
      </c>
      <c r="E318">
        <v>18.832267000000002</v>
      </c>
      <c r="F318">
        <v>-97.777182999999994</v>
      </c>
      <c r="H318">
        <v>48.57</v>
      </c>
    </row>
    <row r="319" spans="1:13">
      <c r="A319" t="s">
        <v>274</v>
      </c>
      <c r="B319" t="s">
        <v>6</v>
      </c>
      <c r="C319" t="s">
        <v>10</v>
      </c>
      <c r="D319">
        <v>1993.6</v>
      </c>
      <c r="E319">
        <v>18.841083000000001</v>
      </c>
      <c r="F319">
        <v>-97.737066999999996</v>
      </c>
      <c r="H319">
        <v>56.92</v>
      </c>
    </row>
    <row r="320" spans="1:13">
      <c r="A320" t="s">
        <v>275</v>
      </c>
      <c r="B320" t="s">
        <v>6</v>
      </c>
      <c r="C320" t="s">
        <v>10</v>
      </c>
      <c r="D320">
        <v>2006.54</v>
      </c>
      <c r="E320">
        <v>18.877182999999999</v>
      </c>
      <c r="F320">
        <v>-97.783917000000002</v>
      </c>
      <c r="H320">
        <v>51.25</v>
      </c>
    </row>
    <row r="321" spans="1:36">
      <c r="A321" t="s">
        <v>276</v>
      </c>
      <c r="B321" t="s">
        <v>6</v>
      </c>
      <c r="C321" t="s">
        <v>10</v>
      </c>
      <c r="D321">
        <v>2010</v>
      </c>
      <c r="E321">
        <v>18.882166999999999</v>
      </c>
      <c r="F321">
        <v>-97.752966999999998</v>
      </c>
      <c r="H321">
        <v>56.6</v>
      </c>
    </row>
    <row r="322" spans="1:36">
      <c r="A322" t="s">
        <v>277</v>
      </c>
      <c r="B322" t="s">
        <v>6</v>
      </c>
      <c r="C322" t="s">
        <v>10</v>
      </c>
      <c r="D322">
        <v>2129.1</v>
      </c>
      <c r="E322">
        <v>18.906917</v>
      </c>
      <c r="F322">
        <v>-97.685199999999995</v>
      </c>
      <c r="H322">
        <v>32.299999999999997</v>
      </c>
    </row>
    <row r="323" spans="1:36">
      <c r="A323" t="s">
        <v>278</v>
      </c>
      <c r="B323" t="s">
        <v>6</v>
      </c>
      <c r="C323" t="s">
        <v>10</v>
      </c>
      <c r="D323">
        <v>2307</v>
      </c>
      <c r="E323">
        <v>19.042166999999999</v>
      </c>
      <c r="F323">
        <v>-97.844700000000003</v>
      </c>
      <c r="H323">
        <v>82.95</v>
      </c>
    </row>
    <row r="324" spans="1:36">
      <c r="A324" t="s">
        <v>278</v>
      </c>
      <c r="B324" t="s">
        <v>6</v>
      </c>
      <c r="C324" t="s">
        <v>10</v>
      </c>
      <c r="D324">
        <v>2118.77</v>
      </c>
      <c r="E324">
        <v>18.931882999999999</v>
      </c>
      <c r="F324">
        <v>-97.871350000000007</v>
      </c>
      <c r="H324">
        <v>36.78</v>
      </c>
    </row>
    <row r="325" spans="1:36">
      <c r="A325" t="s">
        <v>279</v>
      </c>
      <c r="B325" t="s">
        <v>6</v>
      </c>
      <c r="C325" t="s">
        <v>10</v>
      </c>
      <c r="D325">
        <v>2307</v>
      </c>
      <c r="E325">
        <v>19.045133</v>
      </c>
      <c r="F325">
        <v>-97.840850000000003</v>
      </c>
      <c r="H325">
        <v>90.84</v>
      </c>
    </row>
    <row r="326" spans="1:36">
      <c r="A326" t="s">
        <v>279</v>
      </c>
      <c r="B326" t="s">
        <v>6</v>
      </c>
      <c r="C326" t="s">
        <v>10</v>
      </c>
      <c r="D326">
        <v>2220</v>
      </c>
      <c r="E326">
        <v>18.953050000000001</v>
      </c>
      <c r="F326">
        <v>-97.896150000000006</v>
      </c>
      <c r="H326">
        <v>28.5</v>
      </c>
    </row>
    <row r="327" spans="1:36">
      <c r="A327" t="s">
        <v>280</v>
      </c>
      <c r="B327" t="s">
        <v>6</v>
      </c>
      <c r="C327" t="s">
        <v>10</v>
      </c>
      <c r="D327">
        <v>2260</v>
      </c>
      <c r="E327">
        <v>19.058582999999999</v>
      </c>
      <c r="F327">
        <v>-97.812832999999998</v>
      </c>
      <c r="H327">
        <v>66.52</v>
      </c>
    </row>
    <row r="328" spans="1:36">
      <c r="A328" t="s">
        <v>280</v>
      </c>
      <c r="B328" t="s">
        <v>6</v>
      </c>
      <c r="C328" t="s">
        <v>10</v>
      </c>
      <c r="D328">
        <v>2225</v>
      </c>
      <c r="E328">
        <v>18.965017</v>
      </c>
      <c r="F328">
        <v>-97.858467000000005</v>
      </c>
      <c r="H328">
        <v>37.01</v>
      </c>
    </row>
    <row r="329" spans="1:36">
      <c r="A329" t="s">
        <v>281</v>
      </c>
      <c r="B329" t="s">
        <v>6</v>
      </c>
      <c r="C329" t="s">
        <v>10</v>
      </c>
      <c r="D329">
        <v>2249.5100000000002</v>
      </c>
      <c r="E329">
        <v>18.990967000000001</v>
      </c>
      <c r="F329">
        <v>-97.891482999999994</v>
      </c>
      <c r="H329">
        <v>51.84</v>
      </c>
    </row>
    <row r="330" spans="1:36">
      <c r="A330" t="s">
        <v>282</v>
      </c>
      <c r="B330" t="s">
        <v>6</v>
      </c>
      <c r="C330" t="s">
        <v>10</v>
      </c>
      <c r="D330">
        <v>1950</v>
      </c>
      <c r="E330">
        <v>18.807099999999998</v>
      </c>
      <c r="F330">
        <v>-97.858467000000005</v>
      </c>
      <c r="H330">
        <v>37.71</v>
      </c>
    </row>
    <row r="331" spans="1:36">
      <c r="A331" t="s">
        <v>283</v>
      </c>
      <c r="B331" t="s">
        <v>6</v>
      </c>
      <c r="C331" t="s">
        <v>8</v>
      </c>
      <c r="D331">
        <v>2336</v>
      </c>
      <c r="E331">
        <v>19.160350000000001</v>
      </c>
      <c r="F331">
        <v>-98.290839000000005</v>
      </c>
      <c r="M331">
        <v>35.479999999999997</v>
      </c>
    </row>
    <row r="332" spans="1:36">
      <c r="A332" t="s">
        <v>284</v>
      </c>
      <c r="B332" t="s">
        <v>6</v>
      </c>
      <c r="C332" t="s">
        <v>10</v>
      </c>
      <c r="D332">
        <v>1918</v>
      </c>
      <c r="E332">
        <v>18.638432999999999</v>
      </c>
      <c r="F332">
        <v>-97.714399999999998</v>
      </c>
      <c r="H332">
        <v>87</v>
      </c>
    </row>
    <row r="333" spans="1:36">
      <c r="A333" t="s">
        <v>285</v>
      </c>
      <c r="B333" t="s">
        <v>6</v>
      </c>
      <c r="C333" t="s">
        <v>10</v>
      </c>
      <c r="D333">
        <v>1900</v>
      </c>
      <c r="E333">
        <v>18.667717</v>
      </c>
      <c r="F333">
        <v>-97.721649999999997</v>
      </c>
      <c r="H333">
        <v>46.81</v>
      </c>
    </row>
    <row r="334" spans="1:36">
      <c r="A334" t="s">
        <v>286</v>
      </c>
      <c r="B334" t="s">
        <v>6</v>
      </c>
      <c r="C334" t="s">
        <v>10</v>
      </c>
      <c r="D334">
        <v>1885</v>
      </c>
      <c r="E334">
        <v>18.679433</v>
      </c>
      <c r="F334">
        <v>-97.772999999999996</v>
      </c>
      <c r="H334">
        <v>42.43</v>
      </c>
    </row>
    <row r="335" spans="1:36">
      <c r="A335" t="s">
        <v>287</v>
      </c>
      <c r="B335" t="s">
        <v>6</v>
      </c>
      <c r="C335" t="s">
        <v>8</v>
      </c>
      <c r="D335">
        <v>2220</v>
      </c>
      <c r="E335">
        <v>19.103628</v>
      </c>
      <c r="F335">
        <v>-98.214168999999998</v>
      </c>
      <c r="M335">
        <v>22.3</v>
      </c>
    </row>
    <row r="336" spans="1:36">
      <c r="A336" t="s">
        <v>288</v>
      </c>
      <c r="B336" t="s">
        <v>6</v>
      </c>
      <c r="C336" t="s">
        <v>7</v>
      </c>
      <c r="D336">
        <v>1445</v>
      </c>
      <c r="E336">
        <v>18.714721999999998</v>
      </c>
      <c r="F336">
        <v>-98.564750000000004</v>
      </c>
      <c r="AJ336">
        <v>11.72</v>
      </c>
    </row>
    <row r="337" spans="1:36">
      <c r="A337" t="s">
        <v>289</v>
      </c>
      <c r="B337" t="s">
        <v>6</v>
      </c>
      <c r="C337" t="s">
        <v>10</v>
      </c>
      <c r="D337">
        <v>1976</v>
      </c>
      <c r="E337">
        <v>18.803032999999999</v>
      </c>
      <c r="F337">
        <v>-97.799932999999996</v>
      </c>
      <c r="H337">
        <v>44.21</v>
      </c>
    </row>
    <row r="338" spans="1:36">
      <c r="A338" t="s">
        <v>290</v>
      </c>
      <c r="B338" t="s">
        <v>6</v>
      </c>
      <c r="C338" t="s">
        <v>10</v>
      </c>
      <c r="D338">
        <v>1979</v>
      </c>
      <c r="E338">
        <v>18.847583</v>
      </c>
      <c r="F338">
        <v>-97.852232999999998</v>
      </c>
      <c r="H338">
        <v>63.53</v>
      </c>
    </row>
    <row r="339" spans="1:36">
      <c r="A339" t="s">
        <v>291</v>
      </c>
      <c r="B339" t="s">
        <v>6</v>
      </c>
      <c r="C339" t="s">
        <v>10</v>
      </c>
      <c r="D339">
        <v>1980.67</v>
      </c>
      <c r="E339">
        <v>18.854267</v>
      </c>
      <c r="F339">
        <v>-97.805932999999996</v>
      </c>
      <c r="H339">
        <v>76.239999999999995</v>
      </c>
    </row>
    <row r="340" spans="1:36">
      <c r="A340" t="s">
        <v>292</v>
      </c>
      <c r="B340" t="s">
        <v>6</v>
      </c>
      <c r="C340" t="s">
        <v>8</v>
      </c>
      <c r="D340">
        <v>2120</v>
      </c>
      <c r="E340">
        <v>19.041339000000001</v>
      </c>
      <c r="F340">
        <v>-98.152828</v>
      </c>
      <c r="M340">
        <v>65.099999999999994</v>
      </c>
    </row>
    <row r="341" spans="1:36">
      <c r="A341" t="s">
        <v>293</v>
      </c>
      <c r="B341" t="s">
        <v>6</v>
      </c>
      <c r="C341" t="s">
        <v>8</v>
      </c>
      <c r="D341">
        <v>2497.31</v>
      </c>
      <c r="E341">
        <v>19.334139</v>
      </c>
      <c r="F341">
        <v>-98.562027999999998</v>
      </c>
      <c r="AB341">
        <v>85.52</v>
      </c>
      <c r="AC341">
        <v>84.9</v>
      </c>
      <c r="AD341">
        <v>86.71</v>
      </c>
    </row>
    <row r="342" spans="1:36">
      <c r="A342" t="s">
        <v>294</v>
      </c>
      <c r="B342" t="s">
        <v>6</v>
      </c>
      <c r="C342" t="s">
        <v>8</v>
      </c>
      <c r="D342">
        <v>2484.4499999999998</v>
      </c>
      <c r="E342">
        <v>19.297075</v>
      </c>
      <c r="F342">
        <v>-98.526244000000005</v>
      </c>
      <c r="AB342">
        <v>112.4</v>
      </c>
      <c r="AC342">
        <v>110.46</v>
      </c>
      <c r="AD342">
        <v>124.14</v>
      </c>
    </row>
    <row r="343" spans="1:36">
      <c r="A343" t="s">
        <v>295</v>
      </c>
      <c r="B343" t="s">
        <v>6</v>
      </c>
      <c r="C343" t="s">
        <v>8</v>
      </c>
      <c r="D343">
        <v>2326.3000000000002</v>
      </c>
      <c r="E343">
        <v>19.30575</v>
      </c>
      <c r="F343">
        <v>-98.485028</v>
      </c>
      <c r="AB343">
        <v>41.6</v>
      </c>
      <c r="AC343">
        <v>30.5</v>
      </c>
      <c r="AD343">
        <v>35.19</v>
      </c>
      <c r="AJ343">
        <v>81</v>
      </c>
    </row>
    <row r="344" spans="1:36">
      <c r="A344" t="s">
        <v>296</v>
      </c>
      <c r="B344" t="s">
        <v>6</v>
      </c>
      <c r="C344" t="s">
        <v>8</v>
      </c>
      <c r="D344">
        <v>2360.61</v>
      </c>
      <c r="E344">
        <v>19.335360999999999</v>
      </c>
      <c r="F344">
        <v>-98.486722</v>
      </c>
      <c r="AB344">
        <v>49.35</v>
      </c>
      <c r="AC344">
        <v>49.12</v>
      </c>
      <c r="AD344">
        <v>49.4</v>
      </c>
      <c r="AJ344">
        <v>92.4</v>
      </c>
    </row>
    <row r="345" spans="1:36">
      <c r="A345" t="s">
        <v>297</v>
      </c>
      <c r="B345" t="s">
        <v>6</v>
      </c>
      <c r="C345" t="s">
        <v>8</v>
      </c>
      <c r="D345">
        <v>2387.0100000000002</v>
      </c>
      <c r="E345">
        <v>19.234916999999999</v>
      </c>
      <c r="F345">
        <v>-98.481667000000002</v>
      </c>
      <c r="AB345">
        <v>45.02</v>
      </c>
      <c r="AC345">
        <v>49.6</v>
      </c>
      <c r="AD345">
        <v>50.12</v>
      </c>
      <c r="AF345">
        <v>63.05</v>
      </c>
    </row>
    <row r="346" spans="1:36">
      <c r="A346" t="s">
        <v>298</v>
      </c>
      <c r="B346" t="s">
        <v>6</v>
      </c>
      <c r="C346" t="s">
        <v>8</v>
      </c>
      <c r="D346">
        <v>2244.64</v>
      </c>
      <c r="E346">
        <v>19.173166999999999</v>
      </c>
      <c r="F346">
        <v>-98.380581000000006</v>
      </c>
      <c r="AB346">
        <v>30.23</v>
      </c>
      <c r="AC346">
        <v>31.19</v>
      </c>
      <c r="AD346">
        <v>28.32</v>
      </c>
      <c r="AF346">
        <v>29.55</v>
      </c>
      <c r="AJ346">
        <v>20.59</v>
      </c>
    </row>
    <row r="347" spans="1:36">
      <c r="A347" t="s">
        <v>299</v>
      </c>
      <c r="B347" t="s">
        <v>6</v>
      </c>
      <c r="C347" t="s">
        <v>8</v>
      </c>
      <c r="D347">
        <v>2315.0700000000002</v>
      </c>
      <c r="E347">
        <v>19.209527999999999</v>
      </c>
      <c r="F347">
        <v>-98.438666999999995</v>
      </c>
      <c r="AB347">
        <v>41.73</v>
      </c>
      <c r="AC347">
        <v>41.5</v>
      </c>
      <c r="AD347">
        <v>39.42</v>
      </c>
      <c r="AF347">
        <v>34.729999999999997</v>
      </c>
    </row>
    <row r="348" spans="1:36">
      <c r="A348" t="s">
        <v>300</v>
      </c>
      <c r="B348" t="s">
        <v>6</v>
      </c>
      <c r="C348" t="s">
        <v>8</v>
      </c>
      <c r="D348">
        <v>2475.09</v>
      </c>
      <c r="E348">
        <v>19.2164</v>
      </c>
      <c r="F348">
        <v>-98.501608000000004</v>
      </c>
      <c r="AB348">
        <v>47.13</v>
      </c>
      <c r="AC348">
        <v>48.06</v>
      </c>
      <c r="AD348">
        <v>45.04</v>
      </c>
      <c r="AF348">
        <v>45.33</v>
      </c>
      <c r="AJ348">
        <v>48.14</v>
      </c>
    </row>
    <row r="349" spans="1:36">
      <c r="A349" t="s">
        <v>301</v>
      </c>
      <c r="B349" t="s">
        <v>6</v>
      </c>
      <c r="C349" t="s">
        <v>8</v>
      </c>
      <c r="D349">
        <v>2238.5</v>
      </c>
      <c r="E349">
        <v>19.128819</v>
      </c>
      <c r="F349">
        <v>-98.383122</v>
      </c>
      <c r="AF349">
        <v>22.14</v>
      </c>
      <c r="AG349">
        <v>22.43</v>
      </c>
      <c r="AH349">
        <v>22.83</v>
      </c>
      <c r="AI349">
        <v>23.49</v>
      </c>
      <c r="AJ349">
        <v>24.45</v>
      </c>
    </row>
    <row r="350" spans="1:36">
      <c r="A350" t="s">
        <v>302</v>
      </c>
      <c r="B350" t="s">
        <v>6</v>
      </c>
      <c r="C350" t="s">
        <v>8</v>
      </c>
      <c r="D350">
        <v>2219.63</v>
      </c>
      <c r="E350">
        <v>19.169443999999999</v>
      </c>
      <c r="F350">
        <v>-98.351141999999996</v>
      </c>
      <c r="AB350">
        <v>36.270000000000003</v>
      </c>
      <c r="AC350">
        <v>36.44</v>
      </c>
      <c r="AD350">
        <v>35.4</v>
      </c>
      <c r="AF350">
        <v>38.020000000000003</v>
      </c>
    </row>
    <row r="351" spans="1:36">
      <c r="A351" t="s">
        <v>303</v>
      </c>
      <c r="B351" t="s">
        <v>6</v>
      </c>
      <c r="C351" t="s">
        <v>8</v>
      </c>
      <c r="D351">
        <v>2190</v>
      </c>
      <c r="E351">
        <v>19.117827999999999</v>
      </c>
      <c r="F351">
        <v>-98.281997000000004</v>
      </c>
      <c r="AB351">
        <v>67.87</v>
      </c>
      <c r="AC351">
        <v>68.05</v>
      </c>
      <c r="AD351">
        <v>68.3</v>
      </c>
    </row>
    <row r="352" spans="1:36">
      <c r="A352" t="s">
        <v>304</v>
      </c>
      <c r="B352" t="s">
        <v>6</v>
      </c>
      <c r="C352" t="s">
        <v>8</v>
      </c>
      <c r="D352">
        <v>2284.8000000000002</v>
      </c>
      <c r="E352">
        <v>19.044183</v>
      </c>
      <c r="F352">
        <v>-98.076877999999994</v>
      </c>
      <c r="AB352">
        <v>92.28</v>
      </c>
    </row>
    <row r="353" spans="1:36">
      <c r="A353" t="s">
        <v>305</v>
      </c>
      <c r="B353" t="s">
        <v>6</v>
      </c>
      <c r="C353" t="s">
        <v>8</v>
      </c>
      <c r="D353">
        <v>2236.23</v>
      </c>
      <c r="E353">
        <v>19.084306000000002</v>
      </c>
      <c r="F353">
        <v>-98.391471999999993</v>
      </c>
      <c r="AB353">
        <v>45.08</v>
      </c>
      <c r="AC353">
        <v>43.1</v>
      </c>
      <c r="AD353">
        <v>42.81</v>
      </c>
      <c r="AJ353">
        <v>49.8</v>
      </c>
    </row>
    <row r="354" spans="1:36">
      <c r="A354" t="s">
        <v>306</v>
      </c>
      <c r="B354" t="s">
        <v>6</v>
      </c>
      <c r="C354" t="s">
        <v>8</v>
      </c>
      <c r="D354">
        <v>2471.94</v>
      </c>
      <c r="E354">
        <v>19.345361</v>
      </c>
      <c r="F354">
        <v>-98.527167000000006</v>
      </c>
      <c r="AB354">
        <v>59.13</v>
      </c>
      <c r="AC354">
        <v>50.9</v>
      </c>
    </row>
    <row r="355" spans="1:36">
      <c r="A355" t="s">
        <v>307</v>
      </c>
      <c r="B355" t="s">
        <v>6</v>
      </c>
      <c r="C355" t="s">
        <v>8</v>
      </c>
      <c r="D355">
        <v>2196.1799999999998</v>
      </c>
      <c r="E355">
        <v>19.052167000000001</v>
      </c>
      <c r="F355">
        <v>-98.158528000000004</v>
      </c>
      <c r="AB355">
        <v>80</v>
      </c>
      <c r="AD355">
        <v>87.52</v>
      </c>
      <c r="AF355">
        <v>99</v>
      </c>
    </row>
    <row r="356" spans="1:36">
      <c r="A356" t="s">
        <v>308</v>
      </c>
      <c r="B356" t="s">
        <v>6</v>
      </c>
      <c r="C356" t="s">
        <v>8</v>
      </c>
      <c r="D356">
        <v>2244.34</v>
      </c>
      <c r="E356">
        <v>19.046952999999998</v>
      </c>
      <c r="F356">
        <v>-98.112252999999995</v>
      </c>
      <c r="AB356">
        <v>85.09</v>
      </c>
      <c r="AC356">
        <v>85.4</v>
      </c>
      <c r="AD356">
        <v>87.48</v>
      </c>
    </row>
    <row r="357" spans="1:36">
      <c r="A357" t="s">
        <v>309</v>
      </c>
      <c r="B357" t="s">
        <v>6</v>
      </c>
      <c r="C357" t="s">
        <v>8</v>
      </c>
      <c r="D357">
        <v>2419.8200000000002</v>
      </c>
      <c r="E357">
        <v>19.395275000000002</v>
      </c>
      <c r="F357">
        <v>-98.502008000000004</v>
      </c>
      <c r="AB357">
        <v>48.19</v>
      </c>
      <c r="AC357">
        <v>48.3</v>
      </c>
      <c r="AD357">
        <v>47.86</v>
      </c>
    </row>
    <row r="358" spans="1:36">
      <c r="A358" t="s">
        <v>310</v>
      </c>
      <c r="B358" t="s">
        <v>6</v>
      </c>
      <c r="C358" t="s">
        <v>8</v>
      </c>
      <c r="D358">
        <v>2625.61</v>
      </c>
      <c r="E358">
        <v>19.339606</v>
      </c>
      <c r="F358">
        <v>-98.584671999999998</v>
      </c>
      <c r="AB358">
        <v>97.51</v>
      </c>
      <c r="AC358">
        <v>98.02</v>
      </c>
      <c r="AD358">
        <v>104.8</v>
      </c>
    </row>
    <row r="359" spans="1:36">
      <c r="A359" t="s">
        <v>311</v>
      </c>
      <c r="B359" t="s">
        <v>6</v>
      </c>
      <c r="C359" t="s">
        <v>8</v>
      </c>
      <c r="D359">
        <v>2476.9299999999998</v>
      </c>
      <c r="E359">
        <v>19.279564000000001</v>
      </c>
      <c r="F359">
        <v>-98.536868999999996</v>
      </c>
      <c r="AB359">
        <v>135.84</v>
      </c>
      <c r="AC359">
        <v>136.80000000000001</v>
      </c>
      <c r="AD359">
        <v>134.4</v>
      </c>
      <c r="AJ359">
        <v>147</v>
      </c>
    </row>
    <row r="360" spans="1:36">
      <c r="A360" t="s">
        <v>312</v>
      </c>
      <c r="B360" t="s">
        <v>6</v>
      </c>
      <c r="C360" t="s">
        <v>8</v>
      </c>
      <c r="D360">
        <v>2519.79</v>
      </c>
      <c r="E360">
        <v>19.304808000000001</v>
      </c>
      <c r="F360">
        <v>-98.560249999999996</v>
      </c>
      <c r="AB360">
        <v>139.57</v>
      </c>
      <c r="AC360">
        <v>138.46</v>
      </c>
      <c r="AD360">
        <v>138.19</v>
      </c>
      <c r="AF360">
        <v>140.51</v>
      </c>
      <c r="AJ360">
        <v>107</v>
      </c>
    </row>
    <row r="361" spans="1:36">
      <c r="A361" t="s">
        <v>313</v>
      </c>
      <c r="B361" t="s">
        <v>6</v>
      </c>
      <c r="C361" t="s">
        <v>8</v>
      </c>
      <c r="D361">
        <v>2573.5</v>
      </c>
      <c r="E361">
        <v>19.287839000000002</v>
      </c>
      <c r="F361">
        <v>-98.557850000000002</v>
      </c>
      <c r="AB361">
        <v>112.19</v>
      </c>
      <c r="AC361">
        <v>110.3</v>
      </c>
      <c r="AD361">
        <v>111.58</v>
      </c>
    </row>
    <row r="362" spans="1:36">
      <c r="A362" t="s">
        <v>314</v>
      </c>
      <c r="B362" t="s">
        <v>6</v>
      </c>
      <c r="C362" t="s">
        <v>8</v>
      </c>
      <c r="D362">
        <v>2224</v>
      </c>
      <c r="E362">
        <v>19.131778000000001</v>
      </c>
      <c r="F362">
        <v>-98.355917000000005</v>
      </c>
      <c r="AF362">
        <v>26.24</v>
      </c>
      <c r="AG362">
        <v>26.55</v>
      </c>
      <c r="AH362">
        <v>26.31</v>
      </c>
      <c r="AI362">
        <v>27.17</v>
      </c>
      <c r="AJ362">
        <v>26.68</v>
      </c>
    </row>
    <row r="363" spans="1:36">
      <c r="A363" t="s">
        <v>315</v>
      </c>
      <c r="B363" t="s">
        <v>6</v>
      </c>
      <c r="C363" t="s">
        <v>8</v>
      </c>
      <c r="D363">
        <v>2380</v>
      </c>
      <c r="E363">
        <v>19.216425000000001</v>
      </c>
      <c r="F363">
        <v>-98.468007999999998</v>
      </c>
      <c r="AB363">
        <v>31.78</v>
      </c>
      <c r="AC363">
        <v>32.299999999999997</v>
      </c>
      <c r="AD363">
        <v>32.24</v>
      </c>
      <c r="AF363">
        <v>40.93</v>
      </c>
    </row>
    <row r="364" spans="1:36">
      <c r="A364" t="s">
        <v>316</v>
      </c>
      <c r="B364" t="s">
        <v>6</v>
      </c>
      <c r="C364" t="s">
        <v>8</v>
      </c>
      <c r="D364">
        <v>2327.02</v>
      </c>
      <c r="E364">
        <v>19.204633000000001</v>
      </c>
      <c r="F364">
        <v>-98.451053000000002</v>
      </c>
      <c r="AB364">
        <v>35.81</v>
      </c>
      <c r="AC364">
        <v>36.1</v>
      </c>
      <c r="AD364">
        <v>40.1</v>
      </c>
      <c r="AF364">
        <v>35.5</v>
      </c>
      <c r="AJ364">
        <v>36.5</v>
      </c>
    </row>
    <row r="365" spans="1:36">
      <c r="A365" t="s">
        <v>317</v>
      </c>
      <c r="B365" t="s">
        <v>6</v>
      </c>
      <c r="C365" t="s">
        <v>8</v>
      </c>
      <c r="D365">
        <v>2674.38</v>
      </c>
      <c r="E365">
        <v>19.184049999999999</v>
      </c>
      <c r="F365">
        <v>-98.520222000000004</v>
      </c>
      <c r="AB365">
        <v>152.26</v>
      </c>
      <c r="AF365">
        <v>153.5</v>
      </c>
    </row>
    <row r="366" spans="1:36">
      <c r="A366" t="s">
        <v>318</v>
      </c>
      <c r="B366" t="s">
        <v>6</v>
      </c>
      <c r="C366" t="s">
        <v>8</v>
      </c>
      <c r="D366">
        <v>2330.5100000000002</v>
      </c>
      <c r="E366">
        <v>19.098658</v>
      </c>
      <c r="F366">
        <v>-98.431442000000004</v>
      </c>
      <c r="AB366">
        <v>39.520000000000003</v>
      </c>
      <c r="AD366">
        <v>50.89</v>
      </c>
      <c r="AF366">
        <v>12.01</v>
      </c>
    </row>
    <row r="367" spans="1:36">
      <c r="A367" t="s">
        <v>319</v>
      </c>
      <c r="B367" t="s">
        <v>6</v>
      </c>
      <c r="C367" t="s">
        <v>8</v>
      </c>
      <c r="D367">
        <v>2222.38</v>
      </c>
      <c r="E367">
        <v>19.149550000000001</v>
      </c>
      <c r="F367">
        <v>-98.363827999999998</v>
      </c>
      <c r="AB367">
        <v>30.59</v>
      </c>
      <c r="AC367">
        <v>29.6</v>
      </c>
      <c r="AD367">
        <v>30.95</v>
      </c>
      <c r="AF367">
        <v>31.41</v>
      </c>
      <c r="AJ367">
        <v>33.11</v>
      </c>
    </row>
    <row r="368" spans="1:36">
      <c r="A368" t="s">
        <v>320</v>
      </c>
      <c r="B368" t="s">
        <v>6</v>
      </c>
      <c r="C368" t="s">
        <v>8</v>
      </c>
      <c r="D368">
        <v>2297.19</v>
      </c>
      <c r="E368">
        <v>19.225663999999998</v>
      </c>
      <c r="F368">
        <v>-98.439017000000007</v>
      </c>
      <c r="AB368">
        <v>40.380000000000003</v>
      </c>
      <c r="AC368">
        <v>39.880000000000003</v>
      </c>
      <c r="AD368">
        <v>39.450000000000003</v>
      </c>
      <c r="AF368">
        <v>37.130000000000003</v>
      </c>
    </row>
    <row r="369" spans="1:36">
      <c r="A369" t="s">
        <v>321</v>
      </c>
      <c r="B369" t="s">
        <v>6</v>
      </c>
      <c r="C369" t="s">
        <v>8</v>
      </c>
      <c r="D369">
        <v>2310</v>
      </c>
      <c r="E369">
        <v>19.154211</v>
      </c>
      <c r="F369">
        <v>-98.431539000000001</v>
      </c>
      <c r="AB369">
        <v>34.81</v>
      </c>
      <c r="AC369">
        <v>35.08</v>
      </c>
      <c r="AD369">
        <v>36.24</v>
      </c>
      <c r="AF369">
        <v>35.33</v>
      </c>
      <c r="AJ369">
        <v>49.59</v>
      </c>
    </row>
    <row r="370" spans="1:36">
      <c r="A370" t="s">
        <v>322</v>
      </c>
      <c r="B370" t="s">
        <v>6</v>
      </c>
      <c r="C370" t="s">
        <v>8</v>
      </c>
      <c r="D370">
        <v>2538.12</v>
      </c>
      <c r="E370">
        <v>19.108816999999998</v>
      </c>
      <c r="F370">
        <v>-98.477099999999993</v>
      </c>
      <c r="AB370">
        <v>49.76</v>
      </c>
      <c r="AC370">
        <v>50.3</v>
      </c>
      <c r="AD370">
        <v>48.82</v>
      </c>
      <c r="AJ370">
        <v>80</v>
      </c>
    </row>
    <row r="371" spans="1:36">
      <c r="A371" t="s">
        <v>323</v>
      </c>
      <c r="B371" t="s">
        <v>6</v>
      </c>
      <c r="C371" t="s">
        <v>8</v>
      </c>
      <c r="D371">
        <v>2120.5100000000002</v>
      </c>
      <c r="E371">
        <v>19.071263999999999</v>
      </c>
      <c r="F371">
        <v>-98.257741999999993</v>
      </c>
      <c r="AB371">
        <v>64.489999999999995</v>
      </c>
      <c r="AF371">
        <v>107.91</v>
      </c>
    </row>
    <row r="372" spans="1:36">
      <c r="A372" t="s">
        <v>324</v>
      </c>
      <c r="B372" t="s">
        <v>6</v>
      </c>
      <c r="C372" t="s">
        <v>8</v>
      </c>
      <c r="D372">
        <v>2134.79</v>
      </c>
      <c r="E372">
        <v>19.077332999999999</v>
      </c>
      <c r="F372">
        <v>-98.269221999999999</v>
      </c>
      <c r="AB372">
        <v>65.56</v>
      </c>
    </row>
    <row r="373" spans="1:36">
      <c r="A373" t="s">
        <v>325</v>
      </c>
      <c r="B373" t="s">
        <v>6</v>
      </c>
      <c r="C373" t="s">
        <v>8</v>
      </c>
      <c r="D373">
        <v>2137.61</v>
      </c>
      <c r="E373">
        <v>19.068611000000001</v>
      </c>
      <c r="F373">
        <v>-98.287610999999998</v>
      </c>
      <c r="AB373">
        <v>85.25</v>
      </c>
    </row>
    <row r="374" spans="1:36">
      <c r="A374" t="s">
        <v>326</v>
      </c>
      <c r="B374" t="s">
        <v>6</v>
      </c>
      <c r="C374" t="s">
        <v>8</v>
      </c>
      <c r="D374">
        <v>2122.38</v>
      </c>
      <c r="E374">
        <v>19.095303000000001</v>
      </c>
      <c r="F374">
        <v>-98.240105999999997</v>
      </c>
      <c r="AB374">
        <v>35.74</v>
      </c>
    </row>
    <row r="375" spans="1:36">
      <c r="A375" t="s">
        <v>327</v>
      </c>
      <c r="B375" t="s">
        <v>6</v>
      </c>
      <c r="C375" t="s">
        <v>8</v>
      </c>
      <c r="D375">
        <v>2178.11</v>
      </c>
      <c r="E375">
        <v>19.134785999999998</v>
      </c>
      <c r="F375">
        <v>-98.221411000000003</v>
      </c>
      <c r="AB375">
        <v>37.69</v>
      </c>
    </row>
    <row r="376" spans="1:36">
      <c r="A376" t="s">
        <v>328</v>
      </c>
      <c r="B376" t="s">
        <v>6</v>
      </c>
      <c r="C376" t="s">
        <v>8</v>
      </c>
      <c r="D376">
        <v>2230.09</v>
      </c>
      <c r="E376">
        <v>19.070889000000001</v>
      </c>
      <c r="F376">
        <v>-98.152583000000007</v>
      </c>
      <c r="AB376">
        <v>91.79</v>
      </c>
    </row>
    <row r="377" spans="1:36">
      <c r="A377" t="s">
        <v>329</v>
      </c>
      <c r="B377" t="s">
        <v>6</v>
      </c>
      <c r="C377" t="s">
        <v>8</v>
      </c>
      <c r="D377">
        <v>2238.1799999999998</v>
      </c>
      <c r="E377">
        <v>19.081610999999999</v>
      </c>
      <c r="F377">
        <v>-98.162000000000006</v>
      </c>
      <c r="AB377">
        <v>90.49</v>
      </c>
    </row>
    <row r="378" spans="1:36">
      <c r="A378" t="s">
        <v>330</v>
      </c>
      <c r="B378" t="s">
        <v>6</v>
      </c>
      <c r="C378" t="s">
        <v>8</v>
      </c>
      <c r="D378">
        <v>2212.5100000000002</v>
      </c>
      <c r="E378">
        <v>19.088094000000002</v>
      </c>
      <c r="F378">
        <v>-98.186175000000006</v>
      </c>
      <c r="AB378">
        <v>75.36</v>
      </c>
    </row>
    <row r="379" spans="1:36">
      <c r="A379" t="s">
        <v>331</v>
      </c>
      <c r="B379" t="s">
        <v>6</v>
      </c>
      <c r="C379" t="s">
        <v>8</v>
      </c>
      <c r="D379">
        <v>2279.15</v>
      </c>
      <c r="E379">
        <v>19.069889</v>
      </c>
      <c r="F379">
        <v>-98.115916999999996</v>
      </c>
      <c r="AB379">
        <v>102.59</v>
      </c>
    </row>
    <row r="380" spans="1:36">
      <c r="A380" t="s">
        <v>332</v>
      </c>
      <c r="B380" t="s">
        <v>6</v>
      </c>
      <c r="C380" t="s">
        <v>8</v>
      </c>
      <c r="D380">
        <v>2100</v>
      </c>
      <c r="E380">
        <v>18.989878000000001</v>
      </c>
      <c r="F380">
        <v>-98.172955999999999</v>
      </c>
      <c r="AB380">
        <v>45.35</v>
      </c>
    </row>
    <row r="381" spans="1:36">
      <c r="A381" t="s">
        <v>333</v>
      </c>
      <c r="B381" t="s">
        <v>6</v>
      </c>
      <c r="C381" t="s">
        <v>8</v>
      </c>
      <c r="D381">
        <v>2200.0300000000002</v>
      </c>
      <c r="E381">
        <v>19.052364000000001</v>
      </c>
      <c r="F381">
        <v>-98.403677999999999</v>
      </c>
      <c r="AB381">
        <v>60.2</v>
      </c>
    </row>
    <row r="382" spans="1:36">
      <c r="A382" t="s">
        <v>334</v>
      </c>
      <c r="B382" t="s">
        <v>6</v>
      </c>
      <c r="C382" t="s">
        <v>8</v>
      </c>
      <c r="D382">
        <v>2119.4499999999998</v>
      </c>
      <c r="E382">
        <v>19.061722</v>
      </c>
      <c r="F382">
        <v>-98.256139000000005</v>
      </c>
      <c r="AB382">
        <v>77.86</v>
      </c>
    </row>
    <row r="383" spans="1:36">
      <c r="A383" t="s">
        <v>335</v>
      </c>
      <c r="B383" t="s">
        <v>6</v>
      </c>
      <c r="C383" t="s">
        <v>8</v>
      </c>
      <c r="D383">
        <v>2100</v>
      </c>
      <c r="E383">
        <v>18.995785999999999</v>
      </c>
      <c r="F383">
        <v>-98.285381000000001</v>
      </c>
      <c r="AB383">
        <v>112.12</v>
      </c>
    </row>
    <row r="384" spans="1:36">
      <c r="A384" t="s">
        <v>336</v>
      </c>
      <c r="B384" t="s">
        <v>6</v>
      </c>
      <c r="C384" t="s">
        <v>8</v>
      </c>
      <c r="D384">
        <v>2104.29</v>
      </c>
      <c r="E384">
        <v>18.99305</v>
      </c>
      <c r="F384">
        <v>-98.244891999999993</v>
      </c>
      <c r="AB384">
        <v>94.51</v>
      </c>
    </row>
    <row r="385" spans="1:32">
      <c r="A385" t="s">
        <v>337</v>
      </c>
      <c r="B385" t="s">
        <v>6</v>
      </c>
      <c r="C385" t="s">
        <v>8</v>
      </c>
      <c r="D385">
        <v>2120</v>
      </c>
      <c r="E385">
        <v>18.99025</v>
      </c>
      <c r="F385">
        <v>-98.205305999999993</v>
      </c>
      <c r="AB385">
        <v>80.3</v>
      </c>
    </row>
    <row r="386" spans="1:32">
      <c r="A386" t="s">
        <v>338</v>
      </c>
      <c r="B386" t="s">
        <v>6</v>
      </c>
      <c r="C386" t="s">
        <v>8</v>
      </c>
      <c r="D386">
        <v>2308.84</v>
      </c>
      <c r="E386">
        <v>19.078944</v>
      </c>
      <c r="F386">
        <v>-98.110057999999995</v>
      </c>
      <c r="AB386">
        <v>124.12</v>
      </c>
    </row>
    <row r="387" spans="1:32">
      <c r="A387" t="s">
        <v>339</v>
      </c>
      <c r="B387" t="s">
        <v>6</v>
      </c>
      <c r="C387" t="s">
        <v>8</v>
      </c>
      <c r="D387">
        <v>2223.46</v>
      </c>
      <c r="E387">
        <v>19.048306</v>
      </c>
      <c r="F387">
        <v>-98.130538999999999</v>
      </c>
      <c r="AB387">
        <v>94</v>
      </c>
    </row>
    <row r="388" spans="1:32">
      <c r="A388" t="s">
        <v>340</v>
      </c>
      <c r="B388" t="s">
        <v>6</v>
      </c>
      <c r="C388" t="s">
        <v>8</v>
      </c>
      <c r="D388">
        <v>2171.4499999999998</v>
      </c>
      <c r="E388">
        <v>19.056066999999999</v>
      </c>
      <c r="F388">
        <v>-98.365136000000007</v>
      </c>
      <c r="AB388">
        <v>32.450000000000003</v>
      </c>
      <c r="AC388">
        <v>30.4</v>
      </c>
      <c r="AD388">
        <v>31.03</v>
      </c>
    </row>
    <row r="389" spans="1:32">
      <c r="A389" t="s">
        <v>341</v>
      </c>
      <c r="B389" t="s">
        <v>6</v>
      </c>
      <c r="C389" t="s">
        <v>8</v>
      </c>
      <c r="D389">
        <v>2189.14</v>
      </c>
      <c r="E389">
        <v>19.061394</v>
      </c>
      <c r="F389">
        <v>-98.358350000000002</v>
      </c>
      <c r="AB389">
        <v>30.27</v>
      </c>
      <c r="AC389">
        <v>30.42</v>
      </c>
      <c r="AD389">
        <v>28.62</v>
      </c>
    </row>
    <row r="390" spans="1:32">
      <c r="A390" t="s">
        <v>342</v>
      </c>
      <c r="B390" t="s">
        <v>6</v>
      </c>
      <c r="C390" t="s">
        <v>8</v>
      </c>
      <c r="D390">
        <v>2144.4899999999998</v>
      </c>
      <c r="E390">
        <v>19.015813999999999</v>
      </c>
      <c r="F390">
        <v>-98.354018999999994</v>
      </c>
      <c r="AB390">
        <v>12.8</v>
      </c>
      <c r="AC390">
        <v>7.85</v>
      </c>
      <c r="AD390">
        <v>17.059999999999999</v>
      </c>
      <c r="AF390">
        <v>13.3</v>
      </c>
    </row>
    <row r="391" spans="1:32">
      <c r="A391" t="s">
        <v>343</v>
      </c>
      <c r="B391" t="s">
        <v>6</v>
      </c>
      <c r="C391" t="s">
        <v>8</v>
      </c>
      <c r="D391">
        <v>2345.66</v>
      </c>
      <c r="E391">
        <v>19.265180999999998</v>
      </c>
      <c r="F391">
        <v>-98.487178</v>
      </c>
      <c r="AB391">
        <v>35.630000000000003</v>
      </c>
      <c r="AC391">
        <v>39.799999999999997</v>
      </c>
      <c r="AD391">
        <v>41.12</v>
      </c>
    </row>
    <row r="392" spans="1:32">
      <c r="A392" t="s">
        <v>344</v>
      </c>
      <c r="B392" t="s">
        <v>6</v>
      </c>
      <c r="C392" t="s">
        <v>8</v>
      </c>
      <c r="D392">
        <v>2263.12</v>
      </c>
      <c r="E392">
        <v>19.090568999999999</v>
      </c>
      <c r="F392">
        <v>-98.155517000000003</v>
      </c>
      <c r="AB392">
        <v>103.62</v>
      </c>
    </row>
    <row r="393" spans="1:32">
      <c r="A393" t="s">
        <v>345</v>
      </c>
      <c r="B393" t="s">
        <v>6</v>
      </c>
      <c r="C393" t="s">
        <v>8</v>
      </c>
      <c r="D393">
        <v>2279.8200000000002</v>
      </c>
      <c r="E393">
        <v>19.102722</v>
      </c>
      <c r="F393">
        <v>-98.156949999999995</v>
      </c>
      <c r="AB393">
        <v>123.93</v>
      </c>
    </row>
    <row r="394" spans="1:32">
      <c r="A394" t="s">
        <v>346</v>
      </c>
      <c r="B394" t="s">
        <v>6</v>
      </c>
      <c r="C394" t="s">
        <v>8</v>
      </c>
      <c r="D394">
        <v>2264</v>
      </c>
      <c r="E394">
        <v>19.041778000000001</v>
      </c>
      <c r="F394">
        <v>-98.088611</v>
      </c>
      <c r="AB394">
        <v>92.28</v>
      </c>
      <c r="AD394">
        <v>74.599999999999994</v>
      </c>
      <c r="AF394">
        <v>70</v>
      </c>
    </row>
    <row r="395" spans="1:32">
      <c r="A395" t="s">
        <v>347</v>
      </c>
      <c r="B395" t="s">
        <v>6</v>
      </c>
      <c r="C395" t="s">
        <v>8</v>
      </c>
      <c r="D395">
        <v>2210.5500000000002</v>
      </c>
      <c r="E395">
        <v>19.112714</v>
      </c>
      <c r="F395">
        <v>-98.355582999999996</v>
      </c>
      <c r="AB395">
        <v>29.94</v>
      </c>
      <c r="AC395">
        <v>30.8</v>
      </c>
      <c r="AD395">
        <v>31.15</v>
      </c>
    </row>
    <row r="396" spans="1:32">
      <c r="A396" t="s">
        <v>348</v>
      </c>
      <c r="B396" t="s">
        <v>6</v>
      </c>
      <c r="C396" t="s">
        <v>8</v>
      </c>
      <c r="D396">
        <v>2268.37</v>
      </c>
      <c r="E396">
        <v>19.150538999999998</v>
      </c>
      <c r="F396">
        <v>-98.402091999999996</v>
      </c>
      <c r="AB396">
        <v>19.399999999999999</v>
      </c>
      <c r="AC396">
        <v>19.600000000000001</v>
      </c>
      <c r="AD396">
        <v>19.38</v>
      </c>
    </row>
    <row r="397" spans="1:32">
      <c r="A397" t="s">
        <v>349</v>
      </c>
      <c r="B397" t="s">
        <v>6</v>
      </c>
      <c r="C397" t="s">
        <v>8</v>
      </c>
      <c r="D397">
        <v>2160</v>
      </c>
      <c r="E397">
        <v>18.984925</v>
      </c>
      <c r="F397">
        <v>-98.443989000000002</v>
      </c>
      <c r="AB397">
        <v>67.44</v>
      </c>
      <c r="AC397">
        <v>63.3</v>
      </c>
      <c r="AD397">
        <v>65.099999999999994</v>
      </c>
      <c r="AF397">
        <v>49.6</v>
      </c>
    </row>
    <row r="398" spans="1:32">
      <c r="A398" t="s">
        <v>350</v>
      </c>
      <c r="B398" t="s">
        <v>6</v>
      </c>
      <c r="C398" t="s">
        <v>8</v>
      </c>
      <c r="D398">
        <v>2200</v>
      </c>
      <c r="E398">
        <v>19.001591999999999</v>
      </c>
      <c r="F398">
        <v>-98.442194000000001</v>
      </c>
      <c r="AB398">
        <v>75.3</v>
      </c>
      <c r="AD398">
        <v>76.42</v>
      </c>
      <c r="AF398">
        <v>70</v>
      </c>
    </row>
    <row r="399" spans="1:32">
      <c r="A399" t="s">
        <v>351</v>
      </c>
      <c r="B399" t="s">
        <v>6</v>
      </c>
      <c r="C399" t="s">
        <v>8</v>
      </c>
      <c r="D399">
        <v>2121.64</v>
      </c>
      <c r="E399">
        <v>19.042883</v>
      </c>
      <c r="F399">
        <v>-98.293588999999997</v>
      </c>
      <c r="AB399">
        <v>41.5</v>
      </c>
    </row>
    <row r="400" spans="1:32">
      <c r="A400" t="s">
        <v>352</v>
      </c>
      <c r="B400" t="s">
        <v>6</v>
      </c>
      <c r="C400" t="s">
        <v>8</v>
      </c>
      <c r="D400">
        <v>2173.29</v>
      </c>
      <c r="E400">
        <v>19.047272</v>
      </c>
      <c r="F400">
        <v>-98.169306000000006</v>
      </c>
      <c r="AB400">
        <v>80.2</v>
      </c>
      <c r="AF400">
        <v>82.63</v>
      </c>
    </row>
    <row r="401" spans="1:36">
      <c r="A401" t="s">
        <v>353</v>
      </c>
      <c r="B401" t="s">
        <v>6</v>
      </c>
      <c r="C401" t="s">
        <v>8</v>
      </c>
      <c r="D401">
        <v>2110</v>
      </c>
      <c r="E401">
        <v>19.088094000000002</v>
      </c>
      <c r="F401">
        <v>-98.186175000000006</v>
      </c>
      <c r="AB401">
        <v>112.3</v>
      </c>
    </row>
    <row r="402" spans="1:36">
      <c r="A402" t="s">
        <v>354</v>
      </c>
      <c r="B402" t="s">
        <v>6</v>
      </c>
      <c r="C402" t="s">
        <v>8</v>
      </c>
      <c r="D402">
        <v>2211.9699999999998</v>
      </c>
      <c r="E402">
        <v>19.042442000000001</v>
      </c>
      <c r="F402">
        <v>-98.138521999999995</v>
      </c>
      <c r="AB402">
        <v>94.23</v>
      </c>
    </row>
    <row r="403" spans="1:36">
      <c r="A403" t="s">
        <v>355</v>
      </c>
      <c r="B403" t="s">
        <v>6</v>
      </c>
      <c r="C403" t="s">
        <v>8</v>
      </c>
      <c r="D403">
        <v>2242.94</v>
      </c>
      <c r="E403">
        <v>19.079893999999999</v>
      </c>
      <c r="F403">
        <v>-98.157244000000006</v>
      </c>
      <c r="AB403">
        <v>94.5</v>
      </c>
      <c r="AF403">
        <v>92</v>
      </c>
    </row>
    <row r="404" spans="1:36">
      <c r="A404" t="s">
        <v>356</v>
      </c>
      <c r="B404" t="s">
        <v>6</v>
      </c>
      <c r="C404" t="s">
        <v>8</v>
      </c>
      <c r="D404">
        <v>2244.67</v>
      </c>
      <c r="E404">
        <v>19.076642</v>
      </c>
      <c r="F404">
        <v>-98.147450000000006</v>
      </c>
      <c r="AB404">
        <v>62</v>
      </c>
      <c r="AF404">
        <v>95</v>
      </c>
    </row>
    <row r="405" spans="1:36">
      <c r="A405" t="s">
        <v>357</v>
      </c>
      <c r="B405" t="s">
        <v>6</v>
      </c>
      <c r="C405" t="s">
        <v>8</v>
      </c>
      <c r="D405">
        <v>2199.3000000000002</v>
      </c>
      <c r="E405">
        <v>19.127749999999999</v>
      </c>
      <c r="F405">
        <v>-98.247753000000003</v>
      </c>
      <c r="AB405">
        <v>65</v>
      </c>
      <c r="AD405">
        <v>66.52</v>
      </c>
      <c r="AF405">
        <v>73.8</v>
      </c>
    </row>
    <row r="406" spans="1:36">
      <c r="A406" t="s">
        <v>358</v>
      </c>
      <c r="B406" t="s">
        <v>6</v>
      </c>
      <c r="C406" t="s">
        <v>8</v>
      </c>
      <c r="D406">
        <v>2190</v>
      </c>
      <c r="E406">
        <v>19.133025</v>
      </c>
      <c r="F406">
        <v>-98.262894000000003</v>
      </c>
      <c r="AB406">
        <v>56.09</v>
      </c>
      <c r="AD406">
        <v>58.1</v>
      </c>
      <c r="AF406">
        <v>64.5</v>
      </c>
    </row>
    <row r="407" spans="1:36">
      <c r="A407" t="s">
        <v>359</v>
      </c>
      <c r="B407" t="s">
        <v>6</v>
      </c>
      <c r="C407" t="s">
        <v>8</v>
      </c>
      <c r="D407">
        <v>2157.39</v>
      </c>
      <c r="E407">
        <v>19.118386000000001</v>
      </c>
      <c r="F407">
        <v>-98.230169000000004</v>
      </c>
      <c r="AB407">
        <v>35</v>
      </c>
      <c r="AD407">
        <v>39.89</v>
      </c>
      <c r="AF407">
        <v>44</v>
      </c>
    </row>
    <row r="408" spans="1:36">
      <c r="A408" t="s">
        <v>360</v>
      </c>
      <c r="B408" t="s">
        <v>6</v>
      </c>
      <c r="C408" t="s">
        <v>8</v>
      </c>
      <c r="D408">
        <v>2193.21</v>
      </c>
      <c r="E408">
        <v>19.051531000000001</v>
      </c>
      <c r="F408">
        <v>-98.151781</v>
      </c>
      <c r="AB408">
        <v>70.88</v>
      </c>
    </row>
    <row r="409" spans="1:36">
      <c r="A409" t="s">
        <v>361</v>
      </c>
      <c r="B409" t="s">
        <v>6</v>
      </c>
      <c r="C409" t="s">
        <v>8</v>
      </c>
      <c r="D409">
        <v>2163.86</v>
      </c>
      <c r="E409">
        <v>19.030864000000001</v>
      </c>
      <c r="F409">
        <v>-98.263110999999995</v>
      </c>
      <c r="AB409">
        <v>62.34</v>
      </c>
    </row>
    <row r="410" spans="1:36">
      <c r="A410" t="s">
        <v>362</v>
      </c>
      <c r="B410" t="s">
        <v>6</v>
      </c>
      <c r="C410" t="s">
        <v>8</v>
      </c>
      <c r="D410">
        <v>2219</v>
      </c>
      <c r="E410">
        <v>19.127492</v>
      </c>
      <c r="F410">
        <v>-98.368786</v>
      </c>
      <c r="AF410">
        <v>12.44</v>
      </c>
      <c r="AG410">
        <v>12.5</v>
      </c>
      <c r="AH410">
        <v>12.48</v>
      </c>
      <c r="AI410">
        <v>13.14</v>
      </c>
      <c r="AJ410">
        <v>13.1</v>
      </c>
    </row>
    <row r="411" spans="1:36">
      <c r="A411" t="s">
        <v>363</v>
      </c>
      <c r="B411" t="s">
        <v>6</v>
      </c>
      <c r="C411" t="s">
        <v>8</v>
      </c>
      <c r="D411">
        <v>2217</v>
      </c>
      <c r="E411">
        <v>19.125361000000002</v>
      </c>
      <c r="F411">
        <v>-98.370917000000006</v>
      </c>
      <c r="AF411">
        <v>9.9600000000000009</v>
      </c>
      <c r="AG411">
        <v>10.23</v>
      </c>
      <c r="AH411">
        <v>11.25</v>
      </c>
      <c r="AI411">
        <v>10.69</v>
      </c>
      <c r="AJ411">
        <v>10.55</v>
      </c>
    </row>
    <row r="412" spans="1:36">
      <c r="A412" t="s">
        <v>364</v>
      </c>
      <c r="B412" t="s">
        <v>6</v>
      </c>
      <c r="C412" t="s">
        <v>8</v>
      </c>
      <c r="D412">
        <v>2202.1</v>
      </c>
      <c r="E412">
        <v>19.145610999999999</v>
      </c>
      <c r="F412">
        <v>-98.351194000000007</v>
      </c>
      <c r="AF412">
        <v>9.91</v>
      </c>
      <c r="AG412">
        <v>10.25</v>
      </c>
      <c r="AI412">
        <v>11.98</v>
      </c>
      <c r="AJ412">
        <v>10.77</v>
      </c>
    </row>
    <row r="413" spans="1:36">
      <c r="A413" t="s">
        <v>365</v>
      </c>
      <c r="B413" t="s">
        <v>6</v>
      </c>
      <c r="C413" t="s">
        <v>8</v>
      </c>
      <c r="D413">
        <v>2239</v>
      </c>
      <c r="E413">
        <v>19.129019</v>
      </c>
      <c r="F413">
        <v>-98.382867000000005</v>
      </c>
      <c r="AG413">
        <v>22.18</v>
      </c>
      <c r="AH413">
        <v>22.25</v>
      </c>
      <c r="AI413">
        <v>25</v>
      </c>
      <c r="AJ413">
        <v>24</v>
      </c>
    </row>
    <row r="414" spans="1:36">
      <c r="A414" t="s">
        <v>366</v>
      </c>
      <c r="B414" t="s">
        <v>6</v>
      </c>
      <c r="C414" t="s">
        <v>8</v>
      </c>
      <c r="D414">
        <v>2222</v>
      </c>
      <c r="E414">
        <v>19.126999999999999</v>
      </c>
      <c r="F414">
        <v>-98.373389000000003</v>
      </c>
      <c r="AG414">
        <v>11.3</v>
      </c>
      <c r="AH414">
        <v>11.46</v>
      </c>
      <c r="AJ414">
        <v>11.76</v>
      </c>
    </row>
    <row r="415" spans="1:36">
      <c r="A415" t="s">
        <v>367</v>
      </c>
      <c r="B415" t="s">
        <v>6</v>
      </c>
      <c r="C415" t="s">
        <v>8</v>
      </c>
      <c r="D415">
        <v>2222.5</v>
      </c>
      <c r="E415">
        <v>19.126221999999999</v>
      </c>
      <c r="F415">
        <v>-98.373389000000003</v>
      </c>
      <c r="AG415">
        <v>10.25</v>
      </c>
      <c r="AH415">
        <v>10.45</v>
      </c>
      <c r="AI415">
        <v>11.35</v>
      </c>
      <c r="AJ415">
        <v>11.55</v>
      </c>
    </row>
    <row r="416" spans="1:36">
      <c r="A416" t="s">
        <v>368</v>
      </c>
      <c r="B416" t="s">
        <v>6</v>
      </c>
      <c r="C416" t="s">
        <v>8</v>
      </c>
      <c r="D416">
        <v>2228</v>
      </c>
      <c r="E416">
        <v>19.127167</v>
      </c>
      <c r="F416">
        <v>-98.377806000000007</v>
      </c>
      <c r="AG416">
        <v>13.8</v>
      </c>
      <c r="AH416">
        <v>13.64</v>
      </c>
      <c r="AI416">
        <v>14.91</v>
      </c>
      <c r="AJ416">
        <v>14.89</v>
      </c>
    </row>
    <row r="417" spans="1:36">
      <c r="A417" t="s">
        <v>369</v>
      </c>
      <c r="B417" t="s">
        <v>6</v>
      </c>
      <c r="C417" t="s">
        <v>10</v>
      </c>
      <c r="D417">
        <v>1875</v>
      </c>
      <c r="E417">
        <v>18.719683</v>
      </c>
      <c r="F417">
        <v>-97.831716999999998</v>
      </c>
      <c r="H417">
        <v>25.14</v>
      </c>
    </row>
    <row r="418" spans="1:36">
      <c r="A418" t="s">
        <v>370</v>
      </c>
      <c r="B418" t="s">
        <v>6</v>
      </c>
      <c r="C418" t="s">
        <v>10</v>
      </c>
      <c r="D418">
        <v>1901</v>
      </c>
      <c r="E418">
        <v>18.703817000000001</v>
      </c>
      <c r="F418">
        <v>-97.773899999999998</v>
      </c>
      <c r="H418">
        <v>53.56</v>
      </c>
    </row>
    <row r="419" spans="1:36">
      <c r="A419" t="s">
        <v>371</v>
      </c>
      <c r="B419" t="s">
        <v>6</v>
      </c>
      <c r="C419" t="s">
        <v>8</v>
      </c>
      <c r="D419">
        <v>2279</v>
      </c>
      <c r="E419">
        <v>19.069866999999999</v>
      </c>
      <c r="F419">
        <v>-98.115842000000001</v>
      </c>
      <c r="V419">
        <v>101.71</v>
      </c>
      <c r="W419">
        <v>101.84</v>
      </c>
      <c r="X419">
        <v>102.32</v>
      </c>
      <c r="Y419">
        <v>103.76</v>
      </c>
      <c r="Z419">
        <v>101.89</v>
      </c>
      <c r="AA419">
        <v>96.55</v>
      </c>
      <c r="AB419">
        <v>103.28</v>
      </c>
      <c r="AC419">
        <v>101.7</v>
      </c>
      <c r="AD419">
        <v>101.4</v>
      </c>
      <c r="AE419">
        <v>101.5</v>
      </c>
      <c r="AF419">
        <v>101.57</v>
      </c>
      <c r="AG419">
        <v>101.37</v>
      </c>
      <c r="AH419">
        <v>101.36</v>
      </c>
      <c r="AI419">
        <v>101.39</v>
      </c>
      <c r="AJ419">
        <v>102.33</v>
      </c>
    </row>
    <row r="420" spans="1:36">
      <c r="A420" t="s">
        <v>372</v>
      </c>
      <c r="B420" t="s">
        <v>6</v>
      </c>
      <c r="C420" t="s">
        <v>10</v>
      </c>
      <c r="D420">
        <v>2014</v>
      </c>
      <c r="E420">
        <v>18.759333000000002</v>
      </c>
      <c r="F420">
        <v>-97.682167000000007</v>
      </c>
      <c r="H420">
        <v>46.6</v>
      </c>
    </row>
    <row r="421" spans="1:36">
      <c r="A421" t="s">
        <v>373</v>
      </c>
      <c r="B421" t="s">
        <v>6</v>
      </c>
      <c r="C421" t="s">
        <v>10</v>
      </c>
      <c r="D421">
        <v>1978.62</v>
      </c>
      <c r="E421">
        <v>18.775883</v>
      </c>
      <c r="F421">
        <v>-97.712000000000003</v>
      </c>
      <c r="H421">
        <v>75.5</v>
      </c>
    </row>
    <row r="422" spans="1:36">
      <c r="A422" t="s">
        <v>374</v>
      </c>
      <c r="B422" t="s">
        <v>6</v>
      </c>
      <c r="C422" t="s">
        <v>10</v>
      </c>
      <c r="D422">
        <v>2002</v>
      </c>
      <c r="E422">
        <v>18.794633000000001</v>
      </c>
      <c r="F422">
        <v>-97.699633000000006</v>
      </c>
      <c r="H422">
        <v>54.25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D003-BF4D-C34D-A9C7-3008B6F9A55E}">
  <dimension ref="A1:BU242"/>
  <sheetViews>
    <sheetView zoomScale="75" zoomScaleNormal="100" workbookViewId="0">
      <selection activeCell="CN220" sqref="CN220"/>
    </sheetView>
  </sheetViews>
  <sheetFormatPr baseColWidth="10" defaultColWidth="8.83203125" defaultRowHeight="16"/>
  <cols>
    <col min="1" max="1" width="15.1640625" style="2" bestFit="1" customWidth="1"/>
    <col min="2" max="2" width="35.33203125" style="2" bestFit="1" customWidth="1"/>
    <col min="3" max="16384" width="8.83203125" style="2"/>
  </cols>
  <sheetData>
    <row r="1" spans="1:2">
      <c r="A1" s="8" t="s">
        <v>375</v>
      </c>
      <c r="B1" s="9"/>
    </row>
    <row r="2" spans="1:2" ht="30">
      <c r="A2" s="3" t="s">
        <v>376</v>
      </c>
      <c r="B2" s="3" t="s">
        <v>375</v>
      </c>
    </row>
    <row r="3" spans="1:2" ht="30">
      <c r="A3" s="3" t="s">
        <v>377</v>
      </c>
      <c r="B3" s="4">
        <v>-11.8944489272511</v>
      </c>
    </row>
    <row r="4" spans="1:2" ht="30">
      <c r="A4" s="3" t="s">
        <v>378</v>
      </c>
      <c r="B4" s="4">
        <v>-15.399317401108799</v>
      </c>
    </row>
    <row r="5" spans="1:2" ht="30">
      <c r="A5" s="3" t="s">
        <v>379</v>
      </c>
      <c r="B5" s="4">
        <v>1.0798434399799099</v>
      </c>
    </row>
    <row r="6" spans="1:2" ht="30">
      <c r="A6" s="3" t="s">
        <v>380</v>
      </c>
      <c r="B6" s="4">
        <v>14.4724057199232</v>
      </c>
    </row>
    <row r="7" spans="1:2" ht="30">
      <c r="A7" s="3" t="s">
        <v>381</v>
      </c>
      <c r="B7" s="4">
        <v>19.007429977299999</v>
      </c>
    </row>
    <row r="8" spans="1:2" ht="30">
      <c r="A8" s="3" t="s">
        <v>382</v>
      </c>
      <c r="B8" s="4">
        <v>16.235068784447801</v>
      </c>
    </row>
    <row r="9" spans="1:2" ht="30">
      <c r="A9" s="3" t="s">
        <v>383</v>
      </c>
      <c r="B9" s="4">
        <v>10.9042083782874</v>
      </c>
    </row>
    <row r="10" spans="1:2" ht="30">
      <c r="A10" s="3" t="s">
        <v>384</v>
      </c>
      <c r="B10" s="4">
        <v>7.2877647666060099</v>
      </c>
    </row>
    <row r="11" spans="1:2" ht="30">
      <c r="A11" s="3" t="s">
        <v>385</v>
      </c>
      <c r="B11" s="4">
        <v>-2.7430210617571298</v>
      </c>
    </row>
    <row r="12" spans="1:2" ht="30">
      <c r="A12" s="3" t="s">
        <v>386</v>
      </c>
      <c r="B12" s="4">
        <v>-8.6739991387552795</v>
      </c>
    </row>
    <row r="13" spans="1:2" ht="30">
      <c r="A13" s="3" t="s">
        <v>387</v>
      </c>
      <c r="B13" s="4">
        <v>-15.758955432680899</v>
      </c>
    </row>
    <row r="14" spans="1:2" ht="30">
      <c r="A14" s="3" t="s">
        <v>388</v>
      </c>
      <c r="B14" s="4">
        <v>-20.014076814634201</v>
      </c>
    </row>
    <row r="15" spans="1:2" ht="30">
      <c r="A15" s="3" t="s">
        <v>389</v>
      </c>
      <c r="B15" s="4">
        <v>4.0164043826549003</v>
      </c>
    </row>
    <row r="16" spans="1:2" ht="30">
      <c r="A16" s="3" t="s">
        <v>390</v>
      </c>
      <c r="B16" s="4">
        <v>10.8415119772576</v>
      </c>
    </row>
    <row r="17" spans="1:2" ht="30">
      <c r="A17" s="3" t="s">
        <v>391</v>
      </c>
      <c r="B17" s="4">
        <v>16.663091070371099</v>
      </c>
    </row>
    <row r="18" spans="1:2" ht="30">
      <c r="A18" s="3" t="s">
        <v>392</v>
      </c>
      <c r="B18" s="4">
        <v>23.91724170314</v>
      </c>
    </row>
    <row r="19" spans="1:2" ht="30">
      <c r="A19" s="3" t="s">
        <v>393</v>
      </c>
      <c r="B19" s="4">
        <v>21.3430874043875</v>
      </c>
    </row>
    <row r="20" spans="1:2" ht="30">
      <c r="A20" s="3" t="s">
        <v>394</v>
      </c>
      <c r="B20" s="4">
        <v>11.042636979723699</v>
      </c>
    </row>
    <row r="21" spans="1:2" ht="30">
      <c r="A21" s="3" t="s">
        <v>395</v>
      </c>
      <c r="B21" s="4">
        <v>8.3038450650670299</v>
      </c>
    </row>
    <row r="22" spans="1:2" ht="30">
      <c r="A22" s="3" t="s">
        <v>396</v>
      </c>
      <c r="B22" s="4">
        <v>0.59408571629642704</v>
      </c>
    </row>
    <row r="23" spans="1:2" ht="30">
      <c r="A23" s="3" t="s">
        <v>397</v>
      </c>
      <c r="B23" s="4">
        <v>-5.9103054186529702</v>
      </c>
    </row>
    <row r="24" spans="1:2" ht="30">
      <c r="A24" s="3" t="s">
        <v>398</v>
      </c>
      <c r="B24" s="4">
        <v>-9.7857981777019099</v>
      </c>
    </row>
    <row r="25" spans="1:2" ht="30">
      <c r="A25" s="3" t="s">
        <v>399</v>
      </c>
      <c r="B25" s="4">
        <v>-12.526884856281301</v>
      </c>
    </row>
    <row r="26" spans="1:2" ht="30">
      <c r="A26" s="3" t="s">
        <v>400</v>
      </c>
      <c r="B26" s="4">
        <v>-1.2844791599749801</v>
      </c>
    </row>
    <row r="27" spans="1:2" ht="30">
      <c r="A27" s="3" t="s">
        <v>401</v>
      </c>
      <c r="B27" s="4">
        <v>5.2926968141724098</v>
      </c>
    </row>
    <row r="28" spans="1:2" ht="30">
      <c r="A28" s="3" t="s">
        <v>402</v>
      </c>
      <c r="B28" s="4">
        <v>7.6894514671326304</v>
      </c>
    </row>
    <row r="29" spans="1:2" ht="30">
      <c r="A29" s="3" t="s">
        <v>403</v>
      </c>
      <c r="B29" s="4">
        <v>12.875836285183601</v>
      </c>
    </row>
    <row r="30" spans="1:2" ht="30">
      <c r="A30" s="3" t="s">
        <v>404</v>
      </c>
      <c r="B30" s="4">
        <v>20.3891989247672</v>
      </c>
    </row>
    <row r="31" spans="1:2" ht="30">
      <c r="A31" s="3" t="s">
        <v>405</v>
      </c>
      <c r="B31" s="4">
        <v>14.590001472624399</v>
      </c>
    </row>
    <row r="32" spans="1:2" ht="30">
      <c r="A32" s="3" t="s">
        <v>406</v>
      </c>
      <c r="B32" s="4">
        <v>8.2367682218351099</v>
      </c>
    </row>
    <row r="33" spans="1:2" ht="30">
      <c r="A33" s="3" t="s">
        <v>407</v>
      </c>
      <c r="B33" s="4">
        <v>2.0561591625478699</v>
      </c>
    </row>
    <row r="34" spans="1:2" ht="30">
      <c r="A34" s="3" t="s">
        <v>408</v>
      </c>
      <c r="B34" s="4">
        <v>-3.97216825803884</v>
      </c>
    </row>
    <row r="35" spans="1:2" ht="30">
      <c r="A35" s="3" t="s">
        <v>409</v>
      </c>
      <c r="B35" s="4">
        <v>-10.412027327922599</v>
      </c>
    </row>
    <row r="36" spans="1:2" ht="30">
      <c r="A36" s="3" t="s">
        <v>410</v>
      </c>
      <c r="B36" s="4">
        <v>-11.724331241679799</v>
      </c>
    </row>
    <row r="37" spans="1:2" ht="30">
      <c r="A37" s="3" t="s">
        <v>411</v>
      </c>
      <c r="B37" s="4">
        <v>-19.1976582525498</v>
      </c>
    </row>
    <row r="38" spans="1:2" ht="30">
      <c r="A38" s="3" t="s">
        <v>412</v>
      </c>
      <c r="B38" s="4">
        <v>-19.288237743658499</v>
      </c>
    </row>
    <row r="39" spans="1:2" ht="30">
      <c r="A39" s="3" t="s">
        <v>413</v>
      </c>
      <c r="B39" s="4">
        <v>-1.53984442504265</v>
      </c>
    </row>
    <row r="40" spans="1:2" ht="30">
      <c r="A40" s="3" t="s">
        <v>414</v>
      </c>
      <c r="B40" s="4">
        <v>6.4523865476981399</v>
      </c>
    </row>
    <row r="41" spans="1:2" ht="30">
      <c r="A41" s="3" t="s">
        <v>415</v>
      </c>
      <c r="B41" s="4">
        <v>13.8431722702258</v>
      </c>
    </row>
    <row r="42" spans="1:2" ht="19" customHeight="1">
      <c r="A42" s="3" t="s">
        <v>416</v>
      </c>
      <c r="B42" s="4">
        <v>17.243346338512801</v>
      </c>
    </row>
    <row r="43" spans="1:2" ht="30">
      <c r="A43" s="3" t="s">
        <v>417</v>
      </c>
      <c r="B43" s="4">
        <v>10.6707625010781</v>
      </c>
    </row>
    <row r="44" spans="1:2" ht="30">
      <c r="A44" s="3" t="s">
        <v>418</v>
      </c>
      <c r="B44" s="4">
        <v>3.3589345808173201</v>
      </c>
    </row>
    <row r="45" spans="1:2" ht="30">
      <c r="A45" s="3" t="s">
        <v>419</v>
      </c>
      <c r="B45" s="4">
        <v>-4.6996428664974097</v>
      </c>
    </row>
    <row r="46" spans="1:2" ht="30">
      <c r="A46" s="3" t="s">
        <v>420</v>
      </c>
      <c r="B46" s="4">
        <v>-10.346920228210699</v>
      </c>
    </row>
    <row r="47" spans="1:2" ht="30">
      <c r="A47" s="3" t="s">
        <v>421</v>
      </c>
      <c r="B47" s="4">
        <v>-11.9867257090485</v>
      </c>
    </row>
    <row r="48" spans="1:2" ht="30">
      <c r="A48" s="3" t="s">
        <v>422</v>
      </c>
      <c r="B48" s="4">
        <v>-17.538450280783199</v>
      </c>
    </row>
    <row r="49" spans="1:2" ht="30">
      <c r="A49" s="3" t="s">
        <v>423</v>
      </c>
      <c r="B49" s="4">
        <v>-17.958793920112299</v>
      </c>
    </row>
    <row r="50" spans="1:2" ht="30">
      <c r="A50" s="3" t="s">
        <v>424</v>
      </c>
      <c r="B50" s="4">
        <v>-12.6345806705034</v>
      </c>
    </row>
    <row r="51" spans="1:2" ht="30">
      <c r="A51" s="3" t="s">
        <v>425</v>
      </c>
      <c r="B51" s="4">
        <v>-2.7370351395770198</v>
      </c>
    </row>
    <row r="52" spans="1:2" ht="30">
      <c r="A52" s="3" t="s">
        <v>426</v>
      </c>
      <c r="B52" s="4">
        <v>8.1890544280209294</v>
      </c>
    </row>
    <row r="53" spans="1:2" ht="30">
      <c r="A53" s="3" t="s">
        <v>427</v>
      </c>
      <c r="B53" s="4">
        <v>11.098466565253601</v>
      </c>
    </row>
    <row r="54" spans="1:2" ht="30">
      <c r="A54" s="3" t="s">
        <v>428</v>
      </c>
      <c r="B54" s="4">
        <v>15.8707243161075</v>
      </c>
    </row>
    <row r="55" spans="1:2" ht="30">
      <c r="A55" s="3" t="s">
        <v>429</v>
      </c>
      <c r="B55" s="4">
        <v>16.660304346474302</v>
      </c>
    </row>
    <row r="56" spans="1:2" ht="30">
      <c r="A56" s="3" t="s">
        <v>430</v>
      </c>
      <c r="B56" s="4">
        <v>13.7368263000421</v>
      </c>
    </row>
    <row r="57" spans="1:2" ht="30">
      <c r="A57" s="3" t="s">
        <v>431</v>
      </c>
      <c r="B57" s="4">
        <v>6.8731892200917599</v>
      </c>
    </row>
    <row r="58" spans="1:2" ht="30">
      <c r="A58" s="3" t="s">
        <v>432</v>
      </c>
      <c r="B58" s="4">
        <v>-2.1429225347205301</v>
      </c>
    </row>
    <row r="59" spans="1:2" ht="30">
      <c r="A59" s="3" t="s">
        <v>433</v>
      </c>
      <c r="B59" s="4">
        <v>-6.5094018304921004</v>
      </c>
    </row>
    <row r="60" spans="1:2" ht="30">
      <c r="A60" s="3" t="s">
        <v>434</v>
      </c>
      <c r="B60" s="4">
        <v>-13.2875953396982</v>
      </c>
    </row>
    <row r="61" spans="1:2" ht="30">
      <c r="A61" s="3" t="s">
        <v>435</v>
      </c>
      <c r="B61" s="4">
        <v>-14.759399399740101</v>
      </c>
    </row>
    <row r="62" spans="1:2" ht="30">
      <c r="A62" s="3" t="s">
        <v>436</v>
      </c>
      <c r="B62" s="4">
        <v>-12.391791953352699</v>
      </c>
    </row>
    <row r="63" spans="1:2" ht="30">
      <c r="A63" s="3" t="s">
        <v>437</v>
      </c>
      <c r="B63" s="4">
        <v>-6.2690367555446196</v>
      </c>
    </row>
    <row r="64" spans="1:2" ht="30">
      <c r="A64" s="3" t="s">
        <v>438</v>
      </c>
      <c r="B64" s="4">
        <v>0.400401051275872</v>
      </c>
    </row>
    <row r="65" spans="1:2" ht="30">
      <c r="A65" s="3" t="s">
        <v>439</v>
      </c>
      <c r="B65" s="4">
        <v>18.305674963983201</v>
      </c>
    </row>
    <row r="66" spans="1:2" ht="30">
      <c r="A66" s="3" t="s">
        <v>440</v>
      </c>
      <c r="B66" s="4">
        <v>19.696853007542401</v>
      </c>
    </row>
    <row r="67" spans="1:2" ht="30">
      <c r="A67" s="3" t="s">
        <v>441</v>
      </c>
      <c r="B67" s="4">
        <v>10.723504606055499</v>
      </c>
    </row>
    <row r="68" spans="1:2" ht="30">
      <c r="A68" s="3" t="s">
        <v>442</v>
      </c>
      <c r="B68" s="4">
        <v>4.7423318728138399</v>
      </c>
    </row>
    <row r="69" spans="1:2" ht="30">
      <c r="A69" s="3" t="s">
        <v>443</v>
      </c>
      <c r="B69" s="4">
        <v>1.8505284616290301</v>
      </c>
    </row>
    <row r="70" spans="1:2" ht="30">
      <c r="A70" s="3" t="s">
        <v>444</v>
      </c>
      <c r="B70" s="4">
        <v>-7.0347588757253501</v>
      </c>
    </row>
    <row r="71" spans="1:2" ht="30">
      <c r="A71" s="3" t="s">
        <v>445</v>
      </c>
      <c r="B71" s="4">
        <v>-11.221964702588901</v>
      </c>
    </row>
    <row r="72" spans="1:2" ht="30">
      <c r="A72" s="3" t="s">
        <v>446</v>
      </c>
      <c r="B72" s="4">
        <v>-17.9089796269513</v>
      </c>
    </row>
    <row r="73" spans="1:2" ht="30">
      <c r="A73" s="3" t="s">
        <v>447</v>
      </c>
      <c r="B73" s="4">
        <v>-19.034546325562001</v>
      </c>
    </row>
    <row r="74" spans="1:2" ht="30">
      <c r="A74" s="3" t="s">
        <v>448</v>
      </c>
      <c r="B74" s="4">
        <v>-12.9169521281696</v>
      </c>
    </row>
    <row r="75" spans="1:2" ht="30">
      <c r="A75" s="3" t="s">
        <v>449</v>
      </c>
      <c r="B75" s="4">
        <v>6.5371237251707104</v>
      </c>
    </row>
    <row r="76" spans="1:2" ht="30">
      <c r="A76" s="3" t="s">
        <v>450</v>
      </c>
      <c r="B76" s="4">
        <v>9.8542658634283296</v>
      </c>
    </row>
    <row r="77" spans="1:2" ht="30">
      <c r="A77" s="3" t="s">
        <v>451</v>
      </c>
      <c r="B77" s="4">
        <v>17.9735650526159</v>
      </c>
    </row>
    <row r="78" spans="1:2" ht="30">
      <c r="A78" s="3" t="s">
        <v>452</v>
      </c>
      <c r="B78" s="4">
        <v>22.860814667659302</v>
      </c>
    </row>
    <row r="79" spans="1:2" ht="30">
      <c r="A79" s="3" t="s">
        <v>453</v>
      </c>
      <c r="B79" s="4">
        <v>13.511168591099301</v>
      </c>
    </row>
    <row r="80" spans="1:2" ht="30">
      <c r="A80" s="3" t="s">
        <v>454</v>
      </c>
      <c r="B80" s="4">
        <v>4.06905048305957</v>
      </c>
    </row>
    <row r="81" spans="1:2" ht="30">
      <c r="A81" s="3" t="s">
        <v>455</v>
      </c>
      <c r="B81" s="4">
        <v>0.49166406772888399</v>
      </c>
    </row>
    <row r="82" spans="1:2" ht="30">
      <c r="A82" s="3" t="s">
        <v>456</v>
      </c>
      <c r="B82" s="4">
        <v>-3.6445049863509098</v>
      </c>
    </row>
    <row r="83" spans="1:2" ht="30">
      <c r="A83" s="3" t="s">
        <v>457</v>
      </c>
      <c r="B83" s="4">
        <v>-10.9961584085799</v>
      </c>
    </row>
    <row r="84" spans="1:2" ht="30">
      <c r="A84" s="3" t="s">
        <v>458</v>
      </c>
      <c r="B84" s="4">
        <v>-14.6269091392136</v>
      </c>
    </row>
    <row r="85" spans="1:2" ht="30">
      <c r="A85" s="3" t="s">
        <v>459</v>
      </c>
      <c r="B85" s="4">
        <v>-17.4358210569448</v>
      </c>
    </row>
    <row r="86" spans="1:2" ht="30">
      <c r="A86" s="3" t="s">
        <v>460</v>
      </c>
      <c r="B86" s="4">
        <v>-11.1352126455134</v>
      </c>
    </row>
    <row r="87" spans="1:2" ht="30">
      <c r="A87" s="3" t="s">
        <v>461</v>
      </c>
      <c r="B87" s="4">
        <v>-4.0203102581403396</v>
      </c>
    </row>
    <row r="88" spans="1:2" ht="30">
      <c r="A88" s="3" t="s">
        <v>462</v>
      </c>
      <c r="B88" s="4">
        <v>-5.2464659694782698</v>
      </c>
    </row>
    <row r="89" spans="1:2" ht="30">
      <c r="A89" s="3" t="s">
        <v>463</v>
      </c>
      <c r="B89" s="4">
        <v>5.2394456077632201</v>
      </c>
    </row>
    <row r="90" spans="1:2" ht="30">
      <c r="A90" s="3" t="s">
        <v>464</v>
      </c>
      <c r="B90" s="4">
        <v>12.510355286652601</v>
      </c>
    </row>
    <row r="91" spans="1:2" ht="30">
      <c r="A91" s="3" t="s">
        <v>465</v>
      </c>
      <c r="B91" s="4">
        <v>7.5883758593150104</v>
      </c>
    </row>
    <row r="92" spans="1:2" ht="30">
      <c r="A92" s="3" t="s">
        <v>466</v>
      </c>
      <c r="B92" s="4">
        <v>3.7462819012612698</v>
      </c>
    </row>
    <row r="93" spans="1:2" ht="30">
      <c r="A93" s="3" t="s">
        <v>467</v>
      </c>
      <c r="B93" s="4">
        <v>-1.3749033567696101</v>
      </c>
    </row>
    <row r="94" spans="1:2" ht="30">
      <c r="A94" s="3" t="s">
        <v>468</v>
      </c>
      <c r="B94" s="4">
        <v>4.3015209565669901</v>
      </c>
    </row>
    <row r="95" spans="1:2" ht="30">
      <c r="A95" s="3" t="s">
        <v>469</v>
      </c>
      <c r="B95" s="4">
        <v>-4.2620934426344598E-2</v>
      </c>
    </row>
    <row r="96" spans="1:2" ht="30">
      <c r="A96" s="3" t="s">
        <v>470</v>
      </c>
      <c r="B96" s="4">
        <v>-6.03011345548697</v>
      </c>
    </row>
    <row r="97" spans="1:2" ht="30">
      <c r="A97" s="3" t="s">
        <v>471</v>
      </c>
      <c r="B97" s="4">
        <v>-16.661020959374898</v>
      </c>
    </row>
    <row r="98" spans="1:2" ht="30">
      <c r="A98" s="3" t="s">
        <v>472</v>
      </c>
      <c r="B98" s="4">
        <v>-13.309627799896001</v>
      </c>
    </row>
    <row r="99" spans="1:2" ht="30">
      <c r="A99" s="3" t="s">
        <v>473</v>
      </c>
      <c r="B99" s="4">
        <v>0.156031950263746</v>
      </c>
    </row>
    <row r="100" spans="1:2" ht="30">
      <c r="A100" s="3" t="s">
        <v>474</v>
      </c>
      <c r="B100" s="4">
        <v>18.730560877712801</v>
      </c>
    </row>
    <row r="101" spans="1:2" ht="30">
      <c r="A101" s="3" t="s">
        <v>475</v>
      </c>
      <c r="B101" s="4">
        <v>30.324440787898801</v>
      </c>
    </row>
    <row r="102" spans="1:2" ht="30">
      <c r="A102" s="3" t="s">
        <v>476</v>
      </c>
      <c r="B102" s="4">
        <v>24.909859951006599</v>
      </c>
    </row>
    <row r="103" spans="1:2" ht="30">
      <c r="A103" s="3" t="s">
        <v>477</v>
      </c>
      <c r="B103" s="4">
        <v>13.680993710997001</v>
      </c>
    </row>
    <row r="104" spans="1:2" ht="30">
      <c r="A104" s="3" t="s">
        <v>478</v>
      </c>
      <c r="B104" s="4">
        <v>8.5577950844340602</v>
      </c>
    </row>
    <row r="105" spans="1:2" ht="30">
      <c r="A105" s="3" t="s">
        <v>479</v>
      </c>
      <c r="B105" s="4">
        <v>-3.68393173033513</v>
      </c>
    </row>
    <row r="106" spans="1:2" ht="30">
      <c r="A106" s="3" t="s">
        <v>480</v>
      </c>
      <c r="B106" s="4">
        <v>-8.8371090354598394</v>
      </c>
    </row>
    <row r="107" spans="1:2" ht="30">
      <c r="A107" s="3" t="s">
        <v>481</v>
      </c>
      <c r="B107" s="4">
        <v>-13.7864056291259</v>
      </c>
    </row>
    <row r="108" spans="1:2" ht="30">
      <c r="A108" s="3" t="s">
        <v>482</v>
      </c>
      <c r="B108" s="4">
        <v>-16.777421726492701</v>
      </c>
    </row>
    <row r="109" spans="1:2" ht="30">
      <c r="A109" s="3" t="s">
        <v>483</v>
      </c>
      <c r="B109" s="4">
        <v>11.1554859172352</v>
      </c>
    </row>
    <row r="110" spans="1:2" ht="30">
      <c r="A110" s="3" t="s">
        <v>484</v>
      </c>
      <c r="B110" s="4">
        <v>15.517464860694901</v>
      </c>
    </row>
    <row r="111" spans="1:2" ht="30">
      <c r="A111" s="3" t="s">
        <v>485</v>
      </c>
      <c r="B111" s="4">
        <v>21.2161672519319</v>
      </c>
    </row>
    <row r="112" spans="1:2" ht="30">
      <c r="A112" s="3" t="s">
        <v>486</v>
      </c>
      <c r="B112" s="4">
        <v>21.0419872211091</v>
      </c>
    </row>
    <row r="113" spans="1:2" ht="30">
      <c r="A113" s="3" t="s">
        <v>487</v>
      </c>
      <c r="B113" s="4">
        <v>17.971421615573</v>
      </c>
    </row>
    <row r="114" spans="1:2" ht="30">
      <c r="A114" s="3" t="s">
        <v>488</v>
      </c>
      <c r="B114" s="4">
        <v>5.2280223645534996</v>
      </c>
    </row>
    <row r="115" spans="1:2" ht="30">
      <c r="A115" s="3" t="s">
        <v>489</v>
      </c>
      <c r="B115" s="4">
        <v>2.14636482185192</v>
      </c>
    </row>
    <row r="116" spans="1:2" ht="30">
      <c r="A116" s="3" t="s">
        <v>490</v>
      </c>
      <c r="B116" s="4">
        <v>-3.2019408621094398</v>
      </c>
    </row>
    <row r="117" spans="1:2" ht="30">
      <c r="A117" s="3" t="s">
        <v>491</v>
      </c>
      <c r="B117" s="4">
        <v>-10.742952606288201</v>
      </c>
    </row>
    <row r="118" spans="1:2" ht="30">
      <c r="A118" s="3" t="s">
        <v>492</v>
      </c>
      <c r="B118" s="4">
        <v>-12.0897101486302</v>
      </c>
    </row>
    <row r="119" spans="1:2" ht="30">
      <c r="A119" s="3" t="s">
        <v>493</v>
      </c>
      <c r="B119" s="4">
        <v>-10.6558208508617</v>
      </c>
    </row>
    <row r="120" spans="1:2" ht="30">
      <c r="A120" s="3" t="s">
        <v>494</v>
      </c>
      <c r="B120" s="4">
        <v>2.5380692138747198</v>
      </c>
    </row>
    <row r="121" spans="1:2" ht="30">
      <c r="A121" s="3" t="s">
        <v>495</v>
      </c>
      <c r="B121" s="4">
        <v>14.280266597288101</v>
      </c>
    </row>
    <row r="122" spans="1:2" ht="30">
      <c r="A122" s="3" t="s">
        <v>496</v>
      </c>
      <c r="B122" s="4">
        <v>14.6212411833726</v>
      </c>
    </row>
    <row r="123" spans="1:2" ht="30">
      <c r="A123" s="3" t="s">
        <v>497</v>
      </c>
      <c r="B123" s="4">
        <v>7.9696879274011296</v>
      </c>
    </row>
    <row r="124" spans="1:2" ht="30">
      <c r="A124" s="3" t="s">
        <v>498</v>
      </c>
      <c r="B124" s="4">
        <v>5.4573275552862004</v>
      </c>
    </row>
    <row r="125" spans="1:2" ht="30">
      <c r="A125" s="3" t="s">
        <v>499</v>
      </c>
      <c r="B125" s="4">
        <v>-2.56787308083989</v>
      </c>
    </row>
    <row r="126" spans="1:2" ht="30">
      <c r="A126" s="3" t="s">
        <v>500</v>
      </c>
      <c r="B126" s="4">
        <v>-8.7483933983571092</v>
      </c>
    </row>
    <row r="127" spans="1:2" ht="30">
      <c r="A127" s="3" t="s">
        <v>501</v>
      </c>
      <c r="B127" s="4">
        <v>-17.919278471378099</v>
      </c>
    </row>
    <row r="128" spans="1:2" ht="30">
      <c r="A128" s="3" t="s">
        <v>502</v>
      </c>
      <c r="B128" s="4">
        <v>-20.477049060744701</v>
      </c>
    </row>
    <row r="129" spans="1:2" ht="30">
      <c r="A129" s="3" t="s">
        <v>503</v>
      </c>
      <c r="B129" s="4">
        <v>-14.8890765203363</v>
      </c>
    </row>
    <row r="130" spans="1:2" ht="30">
      <c r="A130" s="3" t="s">
        <v>504</v>
      </c>
      <c r="B130" s="4">
        <v>-3.0671984568438702</v>
      </c>
    </row>
    <row r="131" spans="1:2" ht="30">
      <c r="A131" s="3" t="s">
        <v>505</v>
      </c>
      <c r="B131" s="4">
        <v>22.363127219843101</v>
      </c>
    </row>
    <row r="132" spans="1:2" ht="30">
      <c r="A132" s="3" t="s">
        <v>506</v>
      </c>
      <c r="B132" s="4">
        <v>18.437701073827601</v>
      </c>
    </row>
    <row r="133" spans="1:2" ht="30">
      <c r="A133" s="3" t="s">
        <v>507</v>
      </c>
      <c r="B133" s="4">
        <v>10.3587925903298</v>
      </c>
    </row>
    <row r="134" spans="1:2" ht="30">
      <c r="A134" s="3" t="s">
        <v>508</v>
      </c>
      <c r="B134" s="4">
        <v>9.8800372633882496</v>
      </c>
    </row>
    <row r="135" spans="1:2" ht="30">
      <c r="A135" s="3" t="s">
        <v>509</v>
      </c>
      <c r="B135" s="4">
        <v>-11.9879792245305</v>
      </c>
    </row>
    <row r="136" spans="1:2" ht="30">
      <c r="A136" s="3" t="s">
        <v>510</v>
      </c>
      <c r="B136" s="4">
        <v>-10.781183787269001</v>
      </c>
    </row>
    <row r="137" spans="1:2" ht="30">
      <c r="A137" s="3" t="s">
        <v>511</v>
      </c>
      <c r="B137" s="4">
        <v>-12.9983907757527</v>
      </c>
    </row>
    <row r="138" spans="1:2" ht="30">
      <c r="A138" s="3" t="s">
        <v>512</v>
      </c>
      <c r="B138" s="4">
        <v>-2.7237136779553501</v>
      </c>
    </row>
    <row r="139" spans="1:2" ht="30">
      <c r="A139" s="3" t="s">
        <v>513</v>
      </c>
      <c r="B139" s="4">
        <v>9.0719473970853404</v>
      </c>
    </row>
    <row r="140" spans="1:2" ht="30">
      <c r="A140" s="3" t="s">
        <v>514</v>
      </c>
      <c r="B140" s="4">
        <v>16.718441930951901</v>
      </c>
    </row>
    <row r="141" spans="1:2" ht="30">
      <c r="A141" s="3" t="s">
        <v>515</v>
      </c>
      <c r="B141" s="4">
        <v>20.754624492841199</v>
      </c>
    </row>
    <row r="142" spans="1:2" ht="30">
      <c r="A142" s="3" t="s">
        <v>516</v>
      </c>
      <c r="B142" s="4">
        <v>14.7765221161567</v>
      </c>
    </row>
    <row r="143" spans="1:2" ht="30">
      <c r="A143" s="3" t="s">
        <v>517</v>
      </c>
      <c r="B143" s="4">
        <v>3.0287185871889499</v>
      </c>
    </row>
    <row r="144" spans="1:2" ht="30">
      <c r="A144" s="3" t="s">
        <v>518</v>
      </c>
      <c r="B144" s="4">
        <v>-6.2482347149602404</v>
      </c>
    </row>
    <row r="145" spans="1:2" ht="30">
      <c r="A145" s="3" t="s">
        <v>519</v>
      </c>
      <c r="B145" s="4">
        <v>-0.76588880980529594</v>
      </c>
    </row>
    <row r="146" spans="1:2" ht="30">
      <c r="A146" s="3" t="s">
        <v>520</v>
      </c>
      <c r="B146" s="4">
        <v>-10.08912597282</v>
      </c>
    </row>
    <row r="147" spans="1:2" ht="30">
      <c r="A147" s="3" t="s">
        <v>521</v>
      </c>
      <c r="B147" s="4">
        <v>-13.3027566081113</v>
      </c>
    </row>
    <row r="148" spans="1:2" ht="30">
      <c r="A148" s="3" t="s">
        <v>522</v>
      </c>
      <c r="B148" s="4">
        <v>0.58182638406611198</v>
      </c>
    </row>
    <row r="149" spans="1:2" ht="30">
      <c r="A149" s="3" t="s">
        <v>523</v>
      </c>
      <c r="B149" s="4">
        <v>-5.6470148159391496</v>
      </c>
    </row>
    <row r="150" spans="1:2" ht="30">
      <c r="A150" s="3" t="s">
        <v>524</v>
      </c>
      <c r="B150" s="4">
        <v>1.56952213123764</v>
      </c>
    </row>
    <row r="151" spans="1:2" ht="30">
      <c r="A151" s="3" t="s">
        <v>525</v>
      </c>
      <c r="B151" s="4">
        <v>6.4629169370778499</v>
      </c>
    </row>
    <row r="152" spans="1:2" ht="30">
      <c r="A152" s="3" t="s">
        <v>526</v>
      </c>
      <c r="B152" s="4">
        <v>-0.64588293537639796</v>
      </c>
    </row>
    <row r="153" spans="1:2" ht="30">
      <c r="A153" s="3" t="s">
        <v>527</v>
      </c>
      <c r="B153" s="4">
        <v>-11.3202194260633</v>
      </c>
    </row>
    <row r="154" spans="1:2" ht="30">
      <c r="A154" s="3" t="s">
        <v>528</v>
      </c>
      <c r="B154" s="4">
        <v>-10.118954869566</v>
      </c>
    </row>
    <row r="155" spans="1:2" ht="30">
      <c r="A155" s="3" t="s">
        <v>529</v>
      </c>
      <c r="B155" s="4">
        <v>-21.33451508416</v>
      </c>
    </row>
    <row r="156" spans="1:2" ht="30">
      <c r="A156" s="3" t="s">
        <v>530</v>
      </c>
      <c r="B156" s="4">
        <v>-14.8302487159348</v>
      </c>
    </row>
    <row r="157" spans="1:2" ht="30">
      <c r="A157" s="3" t="s">
        <v>531</v>
      </c>
      <c r="B157" s="4">
        <v>-7.7696021773121497</v>
      </c>
    </row>
    <row r="158" spans="1:2" ht="30">
      <c r="A158" s="3" t="s">
        <v>532</v>
      </c>
      <c r="B158" s="4">
        <v>1.6668197710565</v>
      </c>
    </row>
    <row r="159" spans="1:2" ht="30">
      <c r="A159" s="3" t="s">
        <v>533</v>
      </c>
      <c r="B159" s="4">
        <v>2.3625828861145699</v>
      </c>
    </row>
    <row r="160" spans="1:2" ht="30">
      <c r="A160" s="3" t="s">
        <v>534</v>
      </c>
      <c r="B160" s="4">
        <v>1.0095034077563001</v>
      </c>
    </row>
    <row r="161" spans="1:2" ht="30">
      <c r="A161" s="3" t="s">
        <v>535</v>
      </c>
      <c r="B161" s="4">
        <v>-4.4611399486861396</v>
      </c>
    </row>
    <row r="162" spans="1:2" ht="30">
      <c r="A162" s="3" t="s">
        <v>536</v>
      </c>
      <c r="B162" s="4">
        <v>-14.702708440480301</v>
      </c>
    </row>
    <row r="163" spans="1:2" ht="30">
      <c r="A163" s="3" t="s">
        <v>537</v>
      </c>
      <c r="B163" s="4">
        <v>-16.457579615173401</v>
      </c>
    </row>
    <row r="164" spans="1:2" ht="30">
      <c r="A164" s="3" t="s">
        <v>538</v>
      </c>
      <c r="B164" s="4">
        <v>-21.838005371970599</v>
      </c>
    </row>
    <row r="165" spans="1:2" ht="30">
      <c r="A165" s="3" t="s">
        <v>539</v>
      </c>
      <c r="B165" s="4">
        <v>-21.281045523119602</v>
      </c>
    </row>
    <row r="166" spans="1:2" ht="30">
      <c r="A166" s="3" t="s">
        <v>540</v>
      </c>
      <c r="B166" s="4">
        <v>-12.0098712636358</v>
      </c>
    </row>
    <row r="167" spans="1:2" ht="30">
      <c r="A167" s="3" t="s">
        <v>541</v>
      </c>
      <c r="B167" s="4">
        <v>-4.0854123687572104</v>
      </c>
    </row>
    <row r="168" spans="1:2" ht="30">
      <c r="A168" s="3" t="s">
        <v>542</v>
      </c>
      <c r="B168" s="4">
        <v>11.526530770006</v>
      </c>
    </row>
    <row r="169" spans="1:2" ht="30">
      <c r="A169" s="3" t="s">
        <v>543</v>
      </c>
      <c r="B169" s="4">
        <v>8.5261188674517605</v>
      </c>
    </row>
    <row r="170" spans="1:2" ht="30">
      <c r="A170" s="3" t="s">
        <v>544</v>
      </c>
      <c r="B170" s="4">
        <v>3.1598295883773502</v>
      </c>
    </row>
    <row r="171" spans="1:2" ht="30">
      <c r="A171" s="3" t="s">
        <v>545</v>
      </c>
      <c r="B171" s="4">
        <v>-4.1553839078373498</v>
      </c>
    </row>
    <row r="172" spans="1:2" ht="30">
      <c r="A172" s="3" t="s">
        <v>546</v>
      </c>
      <c r="B172" s="4">
        <v>-11.6454842468924</v>
      </c>
    </row>
    <row r="173" spans="1:2" ht="30">
      <c r="A173" s="3" t="s">
        <v>547</v>
      </c>
      <c r="B173" s="4">
        <v>-16.609982153979601</v>
      </c>
    </row>
    <row r="174" spans="1:2" ht="30">
      <c r="A174" s="3" t="s">
        <v>548</v>
      </c>
      <c r="B174" s="4">
        <v>-21.997021381390699</v>
      </c>
    </row>
    <row r="175" spans="1:2" ht="30">
      <c r="A175" s="3" t="s">
        <v>549</v>
      </c>
      <c r="B175" s="4">
        <v>-29.279669739884799</v>
      </c>
    </row>
    <row r="176" spans="1:2" ht="30">
      <c r="A176" s="3" t="s">
        <v>550</v>
      </c>
      <c r="B176" s="4">
        <v>-22.608517118377101</v>
      </c>
    </row>
    <row r="177" spans="1:2" ht="30">
      <c r="A177" s="3" t="s">
        <v>551</v>
      </c>
      <c r="B177" s="4">
        <v>-15.487204792556801</v>
      </c>
    </row>
    <row r="178" spans="1:2" ht="30">
      <c r="A178" s="3" t="s">
        <v>552</v>
      </c>
      <c r="B178" s="4">
        <v>-7.66207274479933</v>
      </c>
    </row>
    <row r="179" spans="1:2" ht="30">
      <c r="A179" s="3" t="s">
        <v>553</v>
      </c>
      <c r="B179" s="4">
        <v>-5.7709262460670701</v>
      </c>
    </row>
    <row r="180" spans="1:2" ht="30">
      <c r="A180" s="3" t="s">
        <v>554</v>
      </c>
      <c r="B180" s="4">
        <v>2.5468077453002</v>
      </c>
    </row>
    <row r="181" spans="1:2" ht="30">
      <c r="A181" s="3" t="s">
        <v>555</v>
      </c>
      <c r="B181" s="4">
        <v>4.7412710714884696</v>
      </c>
    </row>
    <row r="182" spans="1:2" ht="30">
      <c r="A182" s="3" t="s">
        <v>556</v>
      </c>
      <c r="B182" s="4">
        <v>-2.2556136768511701</v>
      </c>
    </row>
    <row r="183" spans="1:2" ht="30">
      <c r="A183" s="3" t="s">
        <v>557</v>
      </c>
      <c r="B183" s="4">
        <v>-7.3573400570280096</v>
      </c>
    </row>
    <row r="184" spans="1:2" ht="30">
      <c r="A184" s="3" t="s">
        <v>558</v>
      </c>
      <c r="B184" s="4">
        <v>-12.332899811325101</v>
      </c>
    </row>
    <row r="185" spans="1:2" ht="30">
      <c r="A185" s="3" t="s">
        <v>559</v>
      </c>
      <c r="B185" s="4">
        <v>-19.623568347302701</v>
      </c>
    </row>
    <row r="186" spans="1:2" ht="30">
      <c r="A186" s="3" t="s">
        <v>560</v>
      </c>
      <c r="B186" s="4">
        <v>-23.5390050081736</v>
      </c>
    </row>
    <row r="187" spans="1:2" ht="30">
      <c r="A187" s="3" t="s">
        <v>561</v>
      </c>
      <c r="B187" s="4">
        <v>-28.2044430716163</v>
      </c>
    </row>
    <row r="188" spans="1:2" ht="30">
      <c r="A188" s="3" t="s">
        <v>562</v>
      </c>
      <c r="B188" s="4">
        <v>-25.473422743958899</v>
      </c>
    </row>
    <row r="189" spans="1:2" ht="30">
      <c r="A189" s="3" t="s">
        <v>563</v>
      </c>
      <c r="B189" s="4">
        <v>-17.252653815431</v>
      </c>
    </row>
    <row r="190" spans="1:2" ht="30">
      <c r="A190" s="3" t="s">
        <v>564</v>
      </c>
      <c r="B190" s="4">
        <v>-10.4627416586703</v>
      </c>
    </row>
    <row r="191" spans="1:2" ht="30">
      <c r="A191" s="3" t="s">
        <v>565</v>
      </c>
      <c r="B191" s="4">
        <v>0.99284132419011695</v>
      </c>
    </row>
    <row r="192" spans="1:2" ht="30">
      <c r="A192" s="3" t="s">
        <v>566</v>
      </c>
      <c r="B192" s="4">
        <v>0.30042321177057202</v>
      </c>
    </row>
    <row r="193" spans="1:2" ht="30">
      <c r="A193" s="3" t="s">
        <v>567</v>
      </c>
      <c r="B193" s="4">
        <v>-6.0795754386312497</v>
      </c>
    </row>
    <row r="194" spans="1:2" ht="30">
      <c r="A194" s="3" t="s">
        <v>568</v>
      </c>
      <c r="B194" s="4">
        <v>-13.013347143886101</v>
      </c>
    </row>
    <row r="195" spans="1:2" ht="30">
      <c r="A195" s="3" t="s">
        <v>569</v>
      </c>
      <c r="B195" s="4">
        <v>-18.1526861122078</v>
      </c>
    </row>
    <row r="196" spans="1:2" ht="30">
      <c r="A196" s="3" t="s">
        <v>570</v>
      </c>
      <c r="B196" s="4">
        <v>-25.5092435671217</v>
      </c>
    </row>
    <row r="197" spans="1:2" ht="30">
      <c r="A197" s="3" t="s">
        <v>571</v>
      </c>
      <c r="B197" s="4">
        <v>-29.854250647706401</v>
      </c>
    </row>
    <row r="198" spans="1:2" ht="30">
      <c r="A198" s="3" t="s">
        <v>572</v>
      </c>
      <c r="B198" s="4">
        <v>-31.099454768580799</v>
      </c>
    </row>
    <row r="199" spans="1:2" ht="30">
      <c r="A199" s="3" t="s">
        <v>573</v>
      </c>
      <c r="B199" s="4">
        <v>-32.574813221228801</v>
      </c>
    </row>
    <row r="200" spans="1:2" ht="30">
      <c r="A200" s="3" t="s">
        <v>574</v>
      </c>
      <c r="B200" s="4">
        <v>-24.090967592430701</v>
      </c>
    </row>
    <row r="201" spans="1:2" ht="30">
      <c r="A201" s="3" t="s">
        <v>575</v>
      </c>
      <c r="B201" s="4">
        <v>-11.579510791805999</v>
      </c>
    </row>
    <row r="202" spans="1:2" ht="30">
      <c r="A202" s="3" t="s">
        <v>576</v>
      </c>
      <c r="B202" s="4">
        <v>-5.0465529836914698</v>
      </c>
    </row>
    <row r="203" spans="1:2" ht="30">
      <c r="A203" s="3" t="s">
        <v>577</v>
      </c>
      <c r="B203" s="4">
        <v>10.657654234560599</v>
      </c>
    </row>
    <row r="204" spans="1:2" ht="30">
      <c r="A204" s="3" t="s">
        <v>578</v>
      </c>
      <c r="B204" s="4">
        <v>12.052695795314801</v>
      </c>
    </row>
    <row r="205" spans="1:2" ht="30">
      <c r="A205" s="3" t="s">
        <v>579</v>
      </c>
      <c r="B205" s="4">
        <v>5.1251338372272102</v>
      </c>
    </row>
    <row r="206" spans="1:2" ht="30">
      <c r="A206" s="3" t="s">
        <v>580</v>
      </c>
      <c r="B206" s="4">
        <v>-3.3215880651227399</v>
      </c>
    </row>
    <row r="207" spans="1:2" ht="30">
      <c r="A207" s="3" t="s">
        <v>581</v>
      </c>
      <c r="B207" s="4">
        <v>-8.9375071549988601</v>
      </c>
    </row>
    <row r="208" spans="1:2" ht="30">
      <c r="A208" s="3" t="s">
        <v>582</v>
      </c>
      <c r="B208" s="4">
        <v>-7.8068329008496598</v>
      </c>
    </row>
    <row r="209" spans="1:2" ht="30">
      <c r="A209" s="3" t="s">
        <v>583</v>
      </c>
      <c r="B209" s="4">
        <v>-15.9157573381639</v>
      </c>
    </row>
    <row r="210" spans="1:2" ht="30">
      <c r="A210" s="3" t="s">
        <v>584</v>
      </c>
      <c r="B210" s="4">
        <v>-22.404515937549501</v>
      </c>
    </row>
    <row r="211" spans="1:2" ht="30">
      <c r="A211" s="3" t="s">
        <v>585</v>
      </c>
      <c r="B211" s="4">
        <v>-29.448736724091201</v>
      </c>
    </row>
    <row r="212" spans="1:2" ht="30">
      <c r="A212" s="3" t="s">
        <v>586</v>
      </c>
      <c r="B212" s="4">
        <v>-21.583279520851999</v>
      </c>
    </row>
    <row r="213" spans="1:2" ht="30">
      <c r="A213" s="3" t="s">
        <v>587</v>
      </c>
      <c r="B213" s="4">
        <v>-6.9383742787144396</v>
      </c>
    </row>
    <row r="214" spans="1:2" ht="30">
      <c r="A214" s="3" t="s">
        <v>588</v>
      </c>
      <c r="B214" s="4">
        <v>-3.7258022498539898</v>
      </c>
    </row>
    <row r="215" spans="1:2" ht="30">
      <c r="A215" s="3" t="s">
        <v>589</v>
      </c>
      <c r="B215" s="4">
        <v>-0.47561526728936199</v>
      </c>
    </row>
    <row r="216" spans="1:2" ht="30">
      <c r="A216" s="3" t="s">
        <v>590</v>
      </c>
      <c r="B216" s="4">
        <v>2.9800061064338901</v>
      </c>
    </row>
    <row r="217" spans="1:2" ht="30">
      <c r="A217" s="3" t="s">
        <v>591</v>
      </c>
      <c r="B217" s="4">
        <v>-7.8057981670103196</v>
      </c>
    </row>
    <row r="218" spans="1:2" ht="30">
      <c r="A218" s="3" t="s">
        <v>592</v>
      </c>
      <c r="B218" s="4">
        <v>-9.6864648075974795</v>
      </c>
    </row>
    <row r="219" spans="1:2" ht="30">
      <c r="A219" s="3" t="s">
        <v>593</v>
      </c>
      <c r="B219" s="4">
        <v>-15.4111252749539</v>
      </c>
    </row>
    <row r="220" spans="1:2" ht="30">
      <c r="A220" s="3" t="s">
        <v>594</v>
      </c>
      <c r="B220" s="4">
        <v>-23.079343356770899</v>
      </c>
    </row>
    <row r="221" spans="1:2" ht="30">
      <c r="A221" s="3" t="s">
        <v>595</v>
      </c>
      <c r="B221" s="4">
        <v>-25.798621148449801</v>
      </c>
    </row>
    <row r="222" spans="1:2" ht="30">
      <c r="A222" s="3" t="s">
        <v>596</v>
      </c>
      <c r="B222" s="4">
        <v>-29.053236902338899</v>
      </c>
    </row>
    <row r="223" spans="1:2" ht="30">
      <c r="A223" s="3" t="s">
        <v>597</v>
      </c>
      <c r="B223" s="4">
        <v>-33.733398426902902</v>
      </c>
    </row>
    <row r="224" spans="1:2" ht="30">
      <c r="A224" s="3" t="s">
        <v>598</v>
      </c>
      <c r="B224" s="4">
        <v>-36.687505301666903</v>
      </c>
    </row>
    <row r="225" spans="1:73" ht="30">
      <c r="A225" s="3" t="s">
        <v>599</v>
      </c>
      <c r="B225" s="4">
        <v>-31.230511613769</v>
      </c>
    </row>
    <row r="226" spans="1:73" ht="30">
      <c r="A226" s="3" t="s">
        <v>600</v>
      </c>
      <c r="B226" s="4">
        <v>-22.591610670668501</v>
      </c>
    </row>
    <row r="227" spans="1:73" ht="30">
      <c r="A227" s="3" t="s">
        <v>601</v>
      </c>
      <c r="B227" s="4">
        <v>-18.892168135029699</v>
      </c>
    </row>
    <row r="228" spans="1:73" ht="30">
      <c r="A228" s="3" t="s">
        <v>602</v>
      </c>
      <c r="B228" s="4">
        <v>-16.126845814866499</v>
      </c>
    </row>
    <row r="229" spans="1:73" ht="30">
      <c r="A229" s="3" t="s">
        <v>603</v>
      </c>
      <c r="B229" s="4">
        <v>-16.3153311317987</v>
      </c>
    </row>
    <row r="230" spans="1:73" ht="30">
      <c r="A230" s="3" t="s">
        <v>604</v>
      </c>
      <c r="B230" s="4">
        <v>-20.864388239217401</v>
      </c>
    </row>
    <row r="231" spans="1:73" ht="30">
      <c r="A231" s="3" t="s">
        <v>605</v>
      </c>
      <c r="B231" s="4">
        <v>-20.333926335555901</v>
      </c>
    </row>
    <row r="232" spans="1:73" ht="30">
      <c r="A232" s="3" t="s">
        <v>606</v>
      </c>
      <c r="B232" s="4">
        <v>-27.324361015689998</v>
      </c>
    </row>
    <row r="233" spans="1:73" ht="30">
      <c r="A233" s="3" t="s">
        <v>607</v>
      </c>
      <c r="B233" s="4">
        <v>-34.052667663080101</v>
      </c>
    </row>
    <row r="234" spans="1:73" ht="30">
      <c r="A234" s="3" t="s">
        <v>608</v>
      </c>
      <c r="B234" s="4">
        <v>-38.789994069022598</v>
      </c>
    </row>
    <row r="235" spans="1:73" ht="30">
      <c r="A235" s="3" t="s">
        <v>609</v>
      </c>
      <c r="B235" s="4">
        <v>-43.7348783208257</v>
      </c>
      <c r="BU235" s="2" t="s">
        <v>617</v>
      </c>
    </row>
    <row r="236" spans="1:73" ht="30">
      <c r="A236" s="3" t="s">
        <v>610</v>
      </c>
      <c r="B236" s="4">
        <v>-42.846295845342297</v>
      </c>
    </row>
    <row r="237" spans="1:73" ht="30">
      <c r="A237" s="3" t="s">
        <v>611</v>
      </c>
      <c r="B237" s="4">
        <v>-24.5878516031629</v>
      </c>
    </row>
    <row r="238" spans="1:73" ht="30">
      <c r="A238" s="3" t="s">
        <v>612</v>
      </c>
      <c r="B238" s="4">
        <v>-13.687532824111599</v>
      </c>
    </row>
    <row r="239" spans="1:73" ht="30">
      <c r="A239" s="3" t="s">
        <v>613</v>
      </c>
      <c r="B239" s="4">
        <v>-6.36267125943818</v>
      </c>
    </row>
    <row r="240" spans="1:73" ht="30">
      <c r="A240" s="3" t="s">
        <v>614</v>
      </c>
      <c r="B240" s="4">
        <v>4.7659405734189502</v>
      </c>
    </row>
    <row r="241" spans="1:2" ht="30">
      <c r="A241" s="3" t="s">
        <v>615</v>
      </c>
      <c r="B241" s="4">
        <v>-3.83852700946994</v>
      </c>
    </row>
    <row r="242" spans="1:2" ht="30">
      <c r="A242" s="3" t="s">
        <v>616</v>
      </c>
      <c r="B242" s="4">
        <v>-11.6179728085375</v>
      </c>
    </row>
  </sheetData>
  <mergeCells count="1">
    <mergeCell ref="A1:B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84C2-F4D4-7C4D-B7AC-D64D255CB9E9}">
  <dimension ref="A1:DS242"/>
  <sheetViews>
    <sheetView topLeftCell="B153" zoomScale="17" zoomScaleNormal="30" workbookViewId="0">
      <selection activeCell="E39" sqref="E39"/>
    </sheetView>
  </sheetViews>
  <sheetFormatPr baseColWidth="10" defaultColWidth="8.83203125" defaultRowHeight="16"/>
  <cols>
    <col min="1" max="1" width="15.1640625" style="2" bestFit="1" customWidth="1"/>
    <col min="2" max="2" width="35.33203125" style="2" bestFit="1" customWidth="1"/>
    <col min="3" max="16384" width="8.83203125" style="2"/>
  </cols>
  <sheetData>
    <row r="1" spans="1:123">
      <c r="A1" s="8" t="s">
        <v>375</v>
      </c>
      <c r="B1" s="9"/>
      <c r="E1" s="1" t="s">
        <v>2</v>
      </c>
      <c r="F1" t="s">
        <v>63</v>
      </c>
    </row>
    <row r="2" spans="1:123" ht="30">
      <c r="A2" s="3" t="s">
        <v>376</v>
      </c>
      <c r="B2" s="3" t="s">
        <v>375</v>
      </c>
      <c r="E2" s="1" t="s">
        <v>0</v>
      </c>
      <c r="F2" t="s">
        <v>62</v>
      </c>
      <c r="G2" t="s">
        <v>64</v>
      </c>
      <c r="H2" t="s">
        <v>65</v>
      </c>
      <c r="I2" s="13" t="s">
        <v>66</v>
      </c>
      <c r="J2" s="13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95</v>
      </c>
      <c r="AM2" t="s">
        <v>96</v>
      </c>
      <c r="AN2" t="s">
        <v>97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 t="s">
        <v>104</v>
      </c>
      <c r="AV2" s="11" t="s">
        <v>105</v>
      </c>
      <c r="AW2" t="s">
        <v>106</v>
      </c>
      <c r="AX2" t="s">
        <v>107</v>
      </c>
      <c r="AY2" t="s">
        <v>108</v>
      </c>
      <c r="AZ2" t="s">
        <v>109</v>
      </c>
      <c r="BA2" t="s">
        <v>110</v>
      </c>
      <c r="BB2" t="s">
        <v>111</v>
      </c>
      <c r="BC2" t="s">
        <v>112</v>
      </c>
      <c r="BD2" t="s">
        <v>113</v>
      </c>
      <c r="BE2" t="s">
        <v>114</v>
      </c>
      <c r="BF2" t="s">
        <v>115</v>
      </c>
      <c r="BG2" t="s">
        <v>116</v>
      </c>
      <c r="BH2" t="s">
        <v>117</v>
      </c>
      <c r="BI2" t="s">
        <v>118</v>
      </c>
      <c r="BJ2" t="s">
        <v>119</v>
      </c>
      <c r="BK2" t="s">
        <v>120</v>
      </c>
      <c r="BL2" t="s">
        <v>121</v>
      </c>
      <c r="BM2" t="s">
        <v>122</v>
      </c>
      <c r="BN2" s="11" t="s">
        <v>123</v>
      </c>
      <c r="BO2" t="s">
        <v>124</v>
      </c>
      <c r="BP2" t="s">
        <v>125</v>
      </c>
      <c r="BQ2" t="s">
        <v>126</v>
      </c>
      <c r="BR2" t="s">
        <v>127</v>
      </c>
      <c r="BS2" t="s">
        <v>128</v>
      </c>
      <c r="BT2" t="s">
        <v>129</v>
      </c>
      <c r="BU2" t="s">
        <v>130</v>
      </c>
      <c r="BV2" t="s">
        <v>131</v>
      </c>
      <c r="BW2" t="s">
        <v>132</v>
      </c>
      <c r="BX2" t="s">
        <v>133</v>
      </c>
      <c r="BY2" t="s">
        <v>134</v>
      </c>
      <c r="BZ2" t="s">
        <v>135</v>
      </c>
      <c r="CA2" t="s">
        <v>136</v>
      </c>
      <c r="CB2" t="s">
        <v>137</v>
      </c>
      <c r="CC2" t="s">
        <v>138</v>
      </c>
      <c r="CD2" t="s">
        <v>139</v>
      </c>
      <c r="CE2" s="11" t="s">
        <v>140</v>
      </c>
      <c r="CF2" t="s">
        <v>141</v>
      </c>
      <c r="CG2" t="s">
        <v>142</v>
      </c>
      <c r="CH2" t="s">
        <v>143</v>
      </c>
      <c r="CI2" t="s">
        <v>144</v>
      </c>
      <c r="CJ2" t="s">
        <v>145</v>
      </c>
      <c r="CK2" t="s">
        <v>146</v>
      </c>
      <c r="CL2" t="s">
        <v>147</v>
      </c>
      <c r="CM2" t="s">
        <v>148</v>
      </c>
      <c r="CN2" t="s">
        <v>149</v>
      </c>
      <c r="CO2" s="11" t="s">
        <v>150</v>
      </c>
      <c r="CP2" t="s">
        <v>151</v>
      </c>
      <c r="CQ2" t="s">
        <v>152</v>
      </c>
      <c r="CR2" t="s">
        <v>153</v>
      </c>
      <c r="CS2" t="s">
        <v>154</v>
      </c>
      <c r="CT2" t="s">
        <v>155</v>
      </c>
      <c r="CU2" t="s">
        <v>156</v>
      </c>
      <c r="CV2" t="s">
        <v>157</v>
      </c>
      <c r="CW2" t="s">
        <v>158</v>
      </c>
      <c r="CX2" t="s">
        <v>159</v>
      </c>
      <c r="CY2" t="s">
        <v>160</v>
      </c>
      <c r="CZ2" s="11" t="s">
        <v>161</v>
      </c>
      <c r="DA2" s="11" t="s">
        <v>162</v>
      </c>
      <c r="DB2" s="11" t="s">
        <v>163</v>
      </c>
      <c r="DC2" t="s">
        <v>164</v>
      </c>
      <c r="DD2" t="s">
        <v>165</v>
      </c>
      <c r="DE2" t="s">
        <v>166</v>
      </c>
      <c r="DF2" t="s">
        <v>167</v>
      </c>
      <c r="DG2" t="s">
        <v>168</v>
      </c>
      <c r="DH2" t="s">
        <v>169</v>
      </c>
      <c r="DI2" t="s">
        <v>170</v>
      </c>
      <c r="DJ2" t="s">
        <v>171</v>
      </c>
      <c r="DK2" t="s">
        <v>172</v>
      </c>
      <c r="DL2" t="s">
        <v>173</v>
      </c>
      <c r="DM2" t="s">
        <v>174</v>
      </c>
      <c r="DN2" t="s">
        <v>175</v>
      </c>
      <c r="DO2" t="s">
        <v>176</v>
      </c>
      <c r="DP2" t="s">
        <v>177</v>
      </c>
      <c r="DQ2" t="s">
        <v>178</v>
      </c>
      <c r="DR2" t="s">
        <v>179</v>
      </c>
      <c r="DS2" s="10" t="s">
        <v>620</v>
      </c>
    </row>
    <row r="3" spans="1:123">
      <c r="A3" s="5">
        <v>37363</v>
      </c>
      <c r="B3" s="4">
        <v>-11.8944489272511</v>
      </c>
      <c r="E3" s="1">
        <v>1996</v>
      </c>
      <c r="F3">
        <v>60.8</v>
      </c>
      <c r="G3">
        <v>72</v>
      </c>
      <c r="H3">
        <v>63</v>
      </c>
      <c r="I3" s="13"/>
      <c r="J3" s="13">
        <v>197.82</v>
      </c>
      <c r="K3"/>
      <c r="L3">
        <v>76</v>
      </c>
      <c r="M3">
        <v>60</v>
      </c>
      <c r="N3"/>
      <c r="O3"/>
      <c r="P3">
        <v>22.56</v>
      </c>
      <c r="Q3"/>
      <c r="R3">
        <v>40</v>
      </c>
      <c r="S3">
        <v>38</v>
      </c>
      <c r="T3">
        <v>25</v>
      </c>
      <c r="U3"/>
      <c r="V3"/>
      <c r="W3">
        <v>11.38</v>
      </c>
      <c r="X3"/>
      <c r="Y3"/>
      <c r="Z3">
        <v>48</v>
      </c>
      <c r="AA3"/>
      <c r="AB3"/>
      <c r="AC3">
        <v>11.92</v>
      </c>
      <c r="AD3">
        <v>5.5</v>
      </c>
      <c r="AE3">
        <v>13</v>
      </c>
      <c r="AF3">
        <v>28</v>
      </c>
      <c r="AG3"/>
      <c r="AH3"/>
      <c r="AI3">
        <v>8.52</v>
      </c>
      <c r="AJ3">
        <v>7.49</v>
      </c>
      <c r="AK3">
        <v>1.5</v>
      </c>
      <c r="AL3">
        <v>9</v>
      </c>
      <c r="AM3"/>
      <c r="AN3">
        <v>21.68</v>
      </c>
      <c r="AO3"/>
      <c r="AP3"/>
      <c r="AQ3">
        <v>28.23</v>
      </c>
      <c r="AR3"/>
      <c r="AS3"/>
      <c r="AT3">
        <v>10.91</v>
      </c>
      <c r="AU3"/>
      <c r="AV3" s="11">
        <v>140</v>
      </c>
      <c r="AW3">
        <v>5.17</v>
      </c>
      <c r="AX3">
        <v>48.71</v>
      </c>
      <c r="AY3"/>
      <c r="AZ3">
        <v>3.4</v>
      </c>
      <c r="BA3">
        <v>33.35</v>
      </c>
      <c r="BB3">
        <v>54.5</v>
      </c>
      <c r="BC3">
        <v>9.1999999999999993</v>
      </c>
      <c r="BD3"/>
      <c r="BE3">
        <v>26.51</v>
      </c>
      <c r="BF3"/>
      <c r="BG3">
        <v>55.13</v>
      </c>
      <c r="BH3">
        <v>55.21</v>
      </c>
      <c r="BI3"/>
      <c r="BJ3">
        <v>41.32</v>
      </c>
      <c r="BK3">
        <v>0.88</v>
      </c>
      <c r="BL3"/>
      <c r="BM3"/>
      <c r="BN3" s="11">
        <v>90</v>
      </c>
      <c r="BO3">
        <v>0.33</v>
      </c>
      <c r="BP3">
        <v>8.57</v>
      </c>
      <c r="BQ3">
        <v>2.91</v>
      </c>
      <c r="BR3">
        <v>6.3</v>
      </c>
      <c r="BS3">
        <v>97.03</v>
      </c>
      <c r="BT3">
        <v>40</v>
      </c>
      <c r="BU3">
        <v>1.62</v>
      </c>
      <c r="BV3"/>
      <c r="BW3">
        <v>27</v>
      </c>
      <c r="BX3"/>
      <c r="BY3">
        <v>8.8000000000000007</v>
      </c>
      <c r="BZ3">
        <v>2.0699999999999998</v>
      </c>
      <c r="CA3">
        <v>38.409999999999997</v>
      </c>
      <c r="CB3"/>
      <c r="CC3"/>
      <c r="CD3">
        <v>35.020000000000003</v>
      </c>
      <c r="CE3" s="11">
        <v>113.3</v>
      </c>
      <c r="CF3">
        <v>1.58</v>
      </c>
      <c r="CG3"/>
      <c r="CH3"/>
      <c r="CI3">
        <v>9.17</v>
      </c>
      <c r="CJ3"/>
      <c r="CK3">
        <v>6.53</v>
      </c>
      <c r="CL3">
        <v>106</v>
      </c>
      <c r="CM3"/>
      <c r="CN3">
        <v>12.07</v>
      </c>
      <c r="CO3" s="11">
        <v>106.9</v>
      </c>
      <c r="CP3">
        <v>49.5</v>
      </c>
      <c r="CQ3"/>
      <c r="CR3">
        <v>75</v>
      </c>
      <c r="CS3"/>
      <c r="CT3">
        <v>28.2</v>
      </c>
      <c r="CU3"/>
      <c r="CV3"/>
      <c r="CW3">
        <v>102</v>
      </c>
      <c r="CX3"/>
      <c r="CY3"/>
      <c r="CZ3" s="11"/>
      <c r="DA3" s="11">
        <v>111.2</v>
      </c>
      <c r="DB3" s="11">
        <v>130</v>
      </c>
      <c r="DC3">
        <v>42.34</v>
      </c>
      <c r="DD3">
        <v>22</v>
      </c>
      <c r="DE3">
        <v>55.53</v>
      </c>
      <c r="DF3"/>
      <c r="DG3">
        <v>90</v>
      </c>
      <c r="DH3"/>
      <c r="DI3"/>
      <c r="DJ3"/>
      <c r="DK3"/>
      <c r="DL3"/>
      <c r="DM3">
        <v>37.299999999999997</v>
      </c>
      <c r="DN3"/>
      <c r="DO3">
        <v>25</v>
      </c>
      <c r="DP3">
        <v>45</v>
      </c>
      <c r="DQ3">
        <v>17</v>
      </c>
      <c r="DR3">
        <v>43.3</v>
      </c>
    </row>
    <row r="4" spans="1:123">
      <c r="A4" s="5">
        <v>37386</v>
      </c>
      <c r="B4" s="4">
        <v>-15.399317401108799</v>
      </c>
      <c r="E4" s="1">
        <v>1997</v>
      </c>
      <c r="F4">
        <v>61.85</v>
      </c>
      <c r="G4">
        <v>73.2</v>
      </c>
      <c r="H4"/>
      <c r="I4" s="13">
        <v>219</v>
      </c>
      <c r="J4" s="13">
        <v>198.35</v>
      </c>
      <c r="K4"/>
      <c r="L4">
        <v>76</v>
      </c>
      <c r="M4">
        <v>58.2</v>
      </c>
      <c r="N4"/>
      <c r="O4"/>
      <c r="P4"/>
      <c r="Q4"/>
      <c r="R4">
        <v>42.45</v>
      </c>
      <c r="S4">
        <v>38</v>
      </c>
      <c r="T4"/>
      <c r="U4"/>
      <c r="V4">
        <v>10.8</v>
      </c>
      <c r="W4">
        <v>12.4</v>
      </c>
      <c r="X4"/>
      <c r="Y4"/>
      <c r="Z4">
        <v>52.3</v>
      </c>
      <c r="AA4"/>
      <c r="AB4"/>
      <c r="AC4">
        <v>12</v>
      </c>
      <c r="AD4"/>
      <c r="AE4">
        <v>13.4</v>
      </c>
      <c r="AF4"/>
      <c r="AG4"/>
      <c r="AH4">
        <v>2.4</v>
      </c>
      <c r="AI4">
        <v>8.5399999999999991</v>
      </c>
      <c r="AJ4">
        <v>8.61</v>
      </c>
      <c r="AK4">
        <v>2.15</v>
      </c>
      <c r="AL4">
        <v>8.7799999999999994</v>
      </c>
      <c r="AM4"/>
      <c r="AN4">
        <v>21.96</v>
      </c>
      <c r="AO4"/>
      <c r="AP4"/>
      <c r="AQ4">
        <v>28.32</v>
      </c>
      <c r="AR4"/>
      <c r="AS4"/>
      <c r="AT4">
        <v>10.85</v>
      </c>
      <c r="AU4"/>
      <c r="AV4" s="11">
        <v>94.6</v>
      </c>
      <c r="AW4">
        <v>5.51</v>
      </c>
      <c r="AX4">
        <v>50</v>
      </c>
      <c r="AY4">
        <v>73.900000000000006</v>
      </c>
      <c r="AZ4">
        <v>3.4</v>
      </c>
      <c r="BA4">
        <v>33.200000000000003</v>
      </c>
      <c r="BB4">
        <v>53.94</v>
      </c>
      <c r="BC4">
        <v>9.48</v>
      </c>
      <c r="BD4"/>
      <c r="BE4">
        <v>26.85</v>
      </c>
      <c r="BF4">
        <v>0.25</v>
      </c>
      <c r="BG4">
        <v>56</v>
      </c>
      <c r="BH4">
        <v>55.35</v>
      </c>
      <c r="BI4">
        <v>34</v>
      </c>
      <c r="BJ4"/>
      <c r="BK4"/>
      <c r="BL4"/>
      <c r="BM4"/>
      <c r="BN4" s="11">
        <v>93.7</v>
      </c>
      <c r="BO4">
        <v>0.5</v>
      </c>
      <c r="BP4">
        <v>8.6999999999999993</v>
      </c>
      <c r="BQ4">
        <v>3.15</v>
      </c>
      <c r="BR4"/>
      <c r="BS4">
        <v>97.34</v>
      </c>
      <c r="BT4">
        <v>41.7</v>
      </c>
      <c r="BU4"/>
      <c r="BV4">
        <v>14.4</v>
      </c>
      <c r="BW4"/>
      <c r="BX4"/>
      <c r="BY4">
        <v>8.6199999999999992</v>
      </c>
      <c r="BZ4">
        <v>2.2000000000000002</v>
      </c>
      <c r="CA4">
        <v>37.6</v>
      </c>
      <c r="CB4"/>
      <c r="CC4">
        <v>83.5</v>
      </c>
      <c r="CD4">
        <v>35.28</v>
      </c>
      <c r="CE4" s="11">
        <v>113.4</v>
      </c>
      <c r="CF4">
        <v>1.6</v>
      </c>
      <c r="CG4">
        <v>63.68</v>
      </c>
      <c r="CH4">
        <v>18.62</v>
      </c>
      <c r="CI4">
        <v>9</v>
      </c>
      <c r="CJ4">
        <v>45.6</v>
      </c>
      <c r="CK4">
        <v>4.95</v>
      </c>
      <c r="CL4">
        <v>107.6</v>
      </c>
      <c r="CM4">
        <v>49.47</v>
      </c>
      <c r="CN4"/>
      <c r="CO4" s="11">
        <v>107.7</v>
      </c>
      <c r="CP4">
        <v>54</v>
      </c>
      <c r="CQ4">
        <v>29.2</v>
      </c>
      <c r="CR4">
        <v>75.239999999999995</v>
      </c>
      <c r="CS4">
        <v>11.38</v>
      </c>
      <c r="CT4">
        <v>28.7</v>
      </c>
      <c r="CU4">
        <v>77.819999999999993</v>
      </c>
      <c r="CV4">
        <v>146</v>
      </c>
      <c r="CW4">
        <v>115.57</v>
      </c>
      <c r="CX4"/>
      <c r="CY4">
        <v>62.27</v>
      </c>
      <c r="CZ4" s="11">
        <v>159</v>
      </c>
      <c r="DA4" s="11"/>
      <c r="DB4" s="11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</row>
    <row r="5" spans="1:123">
      <c r="A5" s="5">
        <v>37484</v>
      </c>
      <c r="B5" s="4">
        <v>1.0798434399799099</v>
      </c>
      <c r="E5" s="1">
        <v>1998</v>
      </c>
      <c r="F5"/>
      <c r="G5"/>
      <c r="H5"/>
      <c r="I5" s="13"/>
      <c r="J5" s="13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 s="11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 s="11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 s="11"/>
      <c r="CF5"/>
      <c r="CG5"/>
      <c r="CH5"/>
      <c r="CI5"/>
      <c r="CJ5"/>
      <c r="CK5"/>
      <c r="CL5"/>
      <c r="CM5"/>
      <c r="CN5"/>
      <c r="CO5" s="11"/>
      <c r="CP5"/>
      <c r="CQ5"/>
      <c r="CR5"/>
      <c r="CS5"/>
      <c r="CT5"/>
      <c r="CU5"/>
      <c r="CV5"/>
      <c r="CW5"/>
      <c r="CX5"/>
      <c r="CY5"/>
      <c r="CZ5" s="11"/>
      <c r="DA5" s="11"/>
      <c r="DB5" s="11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</row>
    <row r="6" spans="1:123">
      <c r="A6" s="5">
        <v>37515</v>
      </c>
      <c r="B6" s="4">
        <v>14.4724057199232</v>
      </c>
      <c r="E6" s="1">
        <v>1999</v>
      </c>
      <c r="F6"/>
      <c r="G6"/>
      <c r="H6"/>
      <c r="I6" s="13"/>
      <c r="J6" s="13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 s="11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 s="11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 s="11"/>
      <c r="CF6"/>
      <c r="CG6"/>
      <c r="CH6"/>
      <c r="CI6"/>
      <c r="CJ6"/>
      <c r="CK6"/>
      <c r="CL6"/>
      <c r="CM6"/>
      <c r="CN6"/>
      <c r="CO6" s="11"/>
      <c r="CP6"/>
      <c r="CQ6"/>
      <c r="CR6"/>
      <c r="CS6"/>
      <c r="CT6"/>
      <c r="CU6"/>
      <c r="CV6"/>
      <c r="CW6"/>
      <c r="CX6"/>
      <c r="CY6"/>
      <c r="CZ6" s="11"/>
      <c r="DA6" s="11"/>
      <c r="DB6" s="11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</row>
    <row r="7" spans="1:123">
      <c r="A7" s="5">
        <v>37545</v>
      </c>
      <c r="B7" s="4">
        <v>19.007429977299999</v>
      </c>
      <c r="E7" s="1">
        <v>2000</v>
      </c>
      <c r="F7"/>
      <c r="G7">
        <v>76</v>
      </c>
      <c r="H7"/>
      <c r="I7" s="13">
        <v>220.28</v>
      </c>
      <c r="J7" s="13">
        <v>199.46</v>
      </c>
      <c r="K7"/>
      <c r="L7">
        <v>76.75</v>
      </c>
      <c r="M7">
        <v>58.8</v>
      </c>
      <c r="N7"/>
      <c r="O7"/>
      <c r="P7">
        <v>23.7</v>
      </c>
      <c r="Q7"/>
      <c r="R7">
        <v>44</v>
      </c>
      <c r="S7">
        <v>38.270000000000003</v>
      </c>
      <c r="T7">
        <v>17</v>
      </c>
      <c r="U7"/>
      <c r="V7">
        <v>11.2</v>
      </c>
      <c r="W7">
        <v>12.17</v>
      </c>
      <c r="X7"/>
      <c r="Y7">
        <v>8.11</v>
      </c>
      <c r="Z7">
        <v>53.55</v>
      </c>
      <c r="AA7"/>
      <c r="AB7"/>
      <c r="AC7">
        <v>12.35</v>
      </c>
      <c r="AD7">
        <v>5.9</v>
      </c>
      <c r="AE7">
        <v>14.07</v>
      </c>
      <c r="AF7">
        <v>37.549999999999997</v>
      </c>
      <c r="AG7"/>
      <c r="AH7">
        <v>2.94</v>
      </c>
      <c r="AI7">
        <v>7.74</v>
      </c>
      <c r="AJ7">
        <v>8.65</v>
      </c>
      <c r="AK7">
        <v>2.63</v>
      </c>
      <c r="AL7">
        <v>8.8000000000000007</v>
      </c>
      <c r="AM7"/>
      <c r="AN7">
        <v>22.38</v>
      </c>
      <c r="AO7"/>
      <c r="AP7"/>
      <c r="AQ7">
        <v>27.05</v>
      </c>
      <c r="AR7">
        <v>6.27</v>
      </c>
      <c r="AS7">
        <v>10.199999999999999</v>
      </c>
      <c r="AT7">
        <v>10.96</v>
      </c>
      <c r="AU7"/>
      <c r="AV7" s="11">
        <v>95.24</v>
      </c>
      <c r="AW7">
        <v>6</v>
      </c>
      <c r="AX7">
        <v>49.94</v>
      </c>
      <c r="AY7">
        <v>74</v>
      </c>
      <c r="AZ7">
        <v>3.39</v>
      </c>
      <c r="BA7">
        <v>33.26</v>
      </c>
      <c r="BB7">
        <v>53.94</v>
      </c>
      <c r="BC7">
        <v>10.02</v>
      </c>
      <c r="BD7"/>
      <c r="BE7">
        <v>27.73</v>
      </c>
      <c r="BF7">
        <v>0.25</v>
      </c>
      <c r="BG7">
        <v>55.7</v>
      </c>
      <c r="BH7">
        <v>56.04</v>
      </c>
      <c r="BI7">
        <v>56.91</v>
      </c>
      <c r="BJ7">
        <v>43.1</v>
      </c>
      <c r="BK7">
        <v>0.75</v>
      </c>
      <c r="BL7">
        <v>57.57</v>
      </c>
      <c r="BM7"/>
      <c r="BN7" s="11">
        <v>108.58</v>
      </c>
      <c r="BO7">
        <v>2.1</v>
      </c>
      <c r="BP7">
        <v>9.65</v>
      </c>
      <c r="BQ7">
        <v>3.32</v>
      </c>
      <c r="BR7">
        <v>6.8</v>
      </c>
      <c r="BS7">
        <v>97.45</v>
      </c>
      <c r="BT7">
        <v>41.86</v>
      </c>
      <c r="BU7"/>
      <c r="BV7">
        <v>15.98</v>
      </c>
      <c r="BW7">
        <v>35</v>
      </c>
      <c r="BX7"/>
      <c r="BY7">
        <v>11.26</v>
      </c>
      <c r="BZ7">
        <v>2.2400000000000002</v>
      </c>
      <c r="CA7">
        <v>37.53</v>
      </c>
      <c r="CB7">
        <v>20.86</v>
      </c>
      <c r="CC7">
        <v>85.97</v>
      </c>
      <c r="CD7">
        <v>35.840000000000003</v>
      </c>
      <c r="CE7" s="11">
        <v>113.87</v>
      </c>
      <c r="CF7">
        <v>1.5</v>
      </c>
      <c r="CG7">
        <v>64.180000000000007</v>
      </c>
      <c r="CH7">
        <v>18.78</v>
      </c>
      <c r="CI7">
        <v>9.19</v>
      </c>
      <c r="CJ7">
        <v>46.7</v>
      </c>
      <c r="CK7">
        <v>6.46</v>
      </c>
      <c r="CL7">
        <v>110.96</v>
      </c>
      <c r="CM7">
        <v>56.18</v>
      </c>
      <c r="CN7"/>
      <c r="CO7" s="11">
        <v>110.43</v>
      </c>
      <c r="CP7">
        <v>56.37</v>
      </c>
      <c r="CQ7">
        <v>30.07</v>
      </c>
      <c r="CR7">
        <v>75.5</v>
      </c>
      <c r="CS7">
        <v>11.83</v>
      </c>
      <c r="CT7">
        <v>29</v>
      </c>
      <c r="CU7">
        <v>78.8</v>
      </c>
      <c r="CV7">
        <v>146.66999999999999</v>
      </c>
      <c r="CW7"/>
      <c r="CX7"/>
      <c r="CY7">
        <v>83.62</v>
      </c>
      <c r="CZ7" s="11">
        <v>161.01</v>
      </c>
      <c r="DA7" s="11">
        <v>110.7</v>
      </c>
      <c r="DB7" s="11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</row>
    <row r="8" spans="1:123">
      <c r="A8" s="5">
        <v>37576</v>
      </c>
      <c r="B8" s="4">
        <v>16.235068784447801</v>
      </c>
      <c r="C8" s="6" t="s">
        <v>619</v>
      </c>
      <c r="D8" s="6" t="s">
        <v>618</v>
      </c>
      <c r="E8" s="1">
        <v>2001</v>
      </c>
      <c r="F8"/>
      <c r="G8"/>
      <c r="H8"/>
      <c r="I8" s="13"/>
      <c r="J8" s="13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 s="11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 s="11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 s="11"/>
      <c r="CF8"/>
      <c r="CG8"/>
      <c r="CH8"/>
      <c r="CI8"/>
      <c r="CJ8"/>
      <c r="CK8"/>
      <c r="CL8"/>
      <c r="CM8"/>
      <c r="CN8"/>
      <c r="CO8" s="11"/>
      <c r="CP8"/>
      <c r="CQ8"/>
      <c r="CR8"/>
      <c r="CS8"/>
      <c r="CT8"/>
      <c r="CU8"/>
      <c r="CV8"/>
      <c r="CW8"/>
      <c r="CX8"/>
      <c r="CY8"/>
      <c r="CZ8" s="11"/>
      <c r="DA8" s="11"/>
      <c r="DB8" s="11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</row>
    <row r="9" spans="1:123">
      <c r="A9" s="5">
        <v>37606</v>
      </c>
      <c r="B9" s="4">
        <v>10.9042083782874</v>
      </c>
      <c r="C9" s="2">
        <v>2002</v>
      </c>
      <c r="D9" s="7">
        <f>AVERAGE(B3:B9)</f>
        <v>4.9150271387969156</v>
      </c>
      <c r="E9" s="1">
        <v>2002</v>
      </c>
      <c r="F9">
        <v>59.87</v>
      </c>
      <c r="G9"/>
      <c r="H9">
        <v>72.430000000000007</v>
      </c>
      <c r="I9" s="13">
        <v>200.88</v>
      </c>
      <c r="J9" s="13">
        <v>200.35</v>
      </c>
      <c r="K9"/>
      <c r="L9">
        <v>76.959999999999994</v>
      </c>
      <c r="M9">
        <v>59.42</v>
      </c>
      <c r="N9"/>
      <c r="O9">
        <v>72.209999999999994</v>
      </c>
      <c r="P9">
        <v>24.18</v>
      </c>
      <c r="Q9">
        <v>53.68</v>
      </c>
      <c r="R9">
        <v>44.87</v>
      </c>
      <c r="S9">
        <v>38.700000000000003</v>
      </c>
      <c r="T9">
        <v>20.46</v>
      </c>
      <c r="U9">
        <v>12.73</v>
      </c>
      <c r="V9">
        <v>11.2</v>
      </c>
      <c r="W9">
        <v>12.35</v>
      </c>
      <c r="X9"/>
      <c r="Y9">
        <v>8.67</v>
      </c>
      <c r="Z9">
        <v>54.2</v>
      </c>
      <c r="AA9"/>
      <c r="AB9"/>
      <c r="AC9">
        <v>12.87</v>
      </c>
      <c r="AD9">
        <v>10.47</v>
      </c>
      <c r="AE9">
        <v>15.31</v>
      </c>
      <c r="AF9">
        <v>26.04</v>
      </c>
      <c r="AG9"/>
      <c r="AH9">
        <v>4.1900000000000004</v>
      </c>
      <c r="AI9">
        <v>8.27</v>
      </c>
      <c r="AJ9">
        <v>8.9700000000000006</v>
      </c>
      <c r="AK9">
        <v>3.14</v>
      </c>
      <c r="AL9">
        <v>6.25</v>
      </c>
      <c r="AM9"/>
      <c r="AN9">
        <v>22.82</v>
      </c>
      <c r="AO9"/>
      <c r="AP9"/>
      <c r="AQ9">
        <v>26.77</v>
      </c>
      <c r="AR9">
        <v>6.3</v>
      </c>
      <c r="AS9">
        <v>10.3</v>
      </c>
      <c r="AT9">
        <v>10.86</v>
      </c>
      <c r="AU9"/>
      <c r="AV9" s="11">
        <v>96.13</v>
      </c>
      <c r="AW9">
        <v>8.34</v>
      </c>
      <c r="AX9">
        <v>50.13</v>
      </c>
      <c r="AY9">
        <v>74.069999999999993</v>
      </c>
      <c r="AZ9">
        <v>3.41</v>
      </c>
      <c r="BA9">
        <v>34.119999999999997</v>
      </c>
      <c r="BB9">
        <v>38.450000000000003</v>
      </c>
      <c r="BC9">
        <v>10.6</v>
      </c>
      <c r="BD9"/>
      <c r="BE9">
        <v>28.34</v>
      </c>
      <c r="BF9">
        <v>0.25</v>
      </c>
      <c r="BG9">
        <v>56.52</v>
      </c>
      <c r="BH9">
        <v>60.37</v>
      </c>
      <c r="BI9">
        <v>58.36</v>
      </c>
      <c r="BJ9">
        <v>44</v>
      </c>
      <c r="BK9">
        <v>1.44</v>
      </c>
      <c r="BL9">
        <v>62.27</v>
      </c>
      <c r="BM9">
        <v>4.92</v>
      </c>
      <c r="BN9" s="11">
        <v>110.7</v>
      </c>
      <c r="BO9">
        <v>2.04</v>
      </c>
      <c r="BP9">
        <v>10.84</v>
      </c>
      <c r="BQ9">
        <v>4.0999999999999996</v>
      </c>
      <c r="BR9">
        <v>6.41</v>
      </c>
      <c r="BS9">
        <v>97.85</v>
      </c>
      <c r="BT9">
        <v>42.65</v>
      </c>
      <c r="BU9">
        <v>1.75</v>
      </c>
      <c r="BV9">
        <v>16.57</v>
      </c>
      <c r="BW9">
        <v>36.520000000000003</v>
      </c>
      <c r="BX9">
        <v>2.6</v>
      </c>
      <c r="BY9">
        <v>11.81</v>
      </c>
      <c r="BZ9">
        <v>2.2599999999999998</v>
      </c>
      <c r="CA9">
        <v>38.35</v>
      </c>
      <c r="CB9">
        <v>20.25</v>
      </c>
      <c r="CC9">
        <v>90</v>
      </c>
      <c r="CD9">
        <v>36.36</v>
      </c>
      <c r="CE9" s="11">
        <v>116.37</v>
      </c>
      <c r="CF9">
        <v>1.67</v>
      </c>
      <c r="CG9">
        <v>66.94</v>
      </c>
      <c r="CH9">
        <v>18.89</v>
      </c>
      <c r="CI9">
        <v>11.07</v>
      </c>
      <c r="CJ9"/>
      <c r="CK9">
        <v>6.24</v>
      </c>
      <c r="CL9">
        <v>113.23</v>
      </c>
      <c r="CM9">
        <v>36.03</v>
      </c>
      <c r="CN9">
        <v>13.07</v>
      </c>
      <c r="CO9" s="11">
        <v>112.73</v>
      </c>
      <c r="CP9">
        <v>56.73</v>
      </c>
      <c r="CQ9">
        <v>30.13</v>
      </c>
      <c r="CR9">
        <v>76.13</v>
      </c>
      <c r="CS9">
        <v>12.19</v>
      </c>
      <c r="CT9">
        <v>30.55</v>
      </c>
      <c r="CU9">
        <v>80.849999999999994</v>
      </c>
      <c r="CV9">
        <v>148.72</v>
      </c>
      <c r="CW9"/>
      <c r="CX9"/>
      <c r="CY9">
        <v>84.2</v>
      </c>
      <c r="CZ9" s="11">
        <v>162.72999999999999</v>
      </c>
      <c r="DA9" s="11">
        <v>94.88</v>
      </c>
      <c r="DB9" s="11">
        <v>143.02000000000001</v>
      </c>
      <c r="DC9">
        <v>43.15</v>
      </c>
      <c r="DD9">
        <v>27.07</v>
      </c>
      <c r="DE9">
        <v>56.42</v>
      </c>
      <c r="DF9"/>
      <c r="DG9">
        <v>81.55</v>
      </c>
      <c r="DH9"/>
      <c r="DI9"/>
      <c r="DJ9"/>
      <c r="DK9"/>
      <c r="DL9"/>
      <c r="DM9"/>
      <c r="DN9"/>
      <c r="DO9"/>
      <c r="DP9"/>
      <c r="DQ9"/>
      <c r="DR9"/>
      <c r="DS9" s="2">
        <v>4.9150271387969156</v>
      </c>
    </row>
    <row r="10" spans="1:123">
      <c r="A10" s="5">
        <v>37637</v>
      </c>
      <c r="B10" s="4">
        <v>7.2877647666060099</v>
      </c>
      <c r="C10" s="2">
        <v>2003</v>
      </c>
      <c r="D10" s="7">
        <f>AVERAGE(B10:B20)</f>
        <v>4.3565168942102988</v>
      </c>
      <c r="E10" s="1">
        <v>2003</v>
      </c>
      <c r="F10"/>
      <c r="G10"/>
      <c r="H10"/>
      <c r="I10" s="13"/>
      <c r="J10" s="13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 s="11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 s="11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 s="11"/>
      <c r="CF10"/>
      <c r="CG10"/>
      <c r="CH10"/>
      <c r="CI10"/>
      <c r="CJ10"/>
      <c r="CK10"/>
      <c r="CL10"/>
      <c r="CM10"/>
      <c r="CN10"/>
      <c r="CO10" s="11"/>
      <c r="CP10"/>
      <c r="CQ10"/>
      <c r="CR10"/>
      <c r="CS10"/>
      <c r="CT10"/>
      <c r="CU10"/>
      <c r="CV10"/>
      <c r="CW10"/>
      <c r="CX10"/>
      <c r="CY10"/>
      <c r="CZ10" s="11"/>
      <c r="DA10" s="11"/>
      <c r="DB10" s="11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 s="2">
        <v>4.3565168942102988</v>
      </c>
    </row>
    <row r="11" spans="1:123">
      <c r="A11" s="5">
        <v>37667</v>
      </c>
      <c r="B11" s="4">
        <v>-2.7430210617571298</v>
      </c>
      <c r="C11" s="2">
        <v>2004</v>
      </c>
      <c r="D11" s="7">
        <f>AVERAGE(B21:B32)</f>
        <v>4.0387013628723034</v>
      </c>
      <c r="E11" s="1">
        <v>2004</v>
      </c>
      <c r="F11"/>
      <c r="G11"/>
      <c r="H11"/>
      <c r="I11" s="13"/>
      <c r="J11" s="13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 s="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 s="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 s="11"/>
      <c r="CF11"/>
      <c r="CG11"/>
      <c r="CH11"/>
      <c r="CI11"/>
      <c r="CJ11"/>
      <c r="CK11"/>
      <c r="CL11"/>
      <c r="CM11"/>
      <c r="CN11"/>
      <c r="CO11" s="11"/>
      <c r="CP11"/>
      <c r="CQ11"/>
      <c r="CR11"/>
      <c r="CS11"/>
      <c r="CT11"/>
      <c r="CU11"/>
      <c r="CV11"/>
      <c r="CW11"/>
      <c r="CX11"/>
      <c r="CY11"/>
      <c r="CZ11" s="11"/>
      <c r="DA11" s="11"/>
      <c r="DB11" s="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 s="2">
        <v>4.0387013628723034</v>
      </c>
    </row>
    <row r="12" spans="1:123">
      <c r="A12" s="5">
        <v>37696</v>
      </c>
      <c r="B12" s="4">
        <v>-8.6739991387552795</v>
      </c>
      <c r="C12" s="2">
        <v>2005</v>
      </c>
      <c r="D12" s="7">
        <f>AVERAGE(B33:B44)</f>
        <v>-1.0424588206676795</v>
      </c>
      <c r="E12" s="1">
        <v>2005</v>
      </c>
      <c r="F12"/>
      <c r="G12"/>
      <c r="H12"/>
      <c r="I12" s="13"/>
      <c r="J12" s="13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 s="11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 s="11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 s="11"/>
      <c r="CF12"/>
      <c r="CG12"/>
      <c r="CH12"/>
      <c r="CI12"/>
      <c r="CJ12"/>
      <c r="CK12"/>
      <c r="CL12"/>
      <c r="CM12"/>
      <c r="CN12"/>
      <c r="CO12" s="11"/>
      <c r="CP12"/>
      <c r="CQ12"/>
      <c r="CR12"/>
      <c r="CS12"/>
      <c r="CT12"/>
      <c r="CU12"/>
      <c r="CV12"/>
      <c r="CW12"/>
      <c r="CX12"/>
      <c r="CY12"/>
      <c r="CZ12" s="11"/>
      <c r="DA12" s="11"/>
      <c r="DB12" s="11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 s="2">
        <v>-1.0424588206676795</v>
      </c>
    </row>
    <row r="13" spans="1:123">
      <c r="A13" s="5">
        <v>37727</v>
      </c>
      <c r="B13" s="4">
        <v>-15.758955432680899</v>
      </c>
      <c r="C13" s="2">
        <v>2006</v>
      </c>
      <c r="D13" s="7">
        <f>AVERAGE(B45:B56)</f>
        <v>-1.028897738236175</v>
      </c>
      <c r="E13" s="1">
        <v>2006</v>
      </c>
      <c r="F13"/>
      <c r="G13"/>
      <c r="H13"/>
      <c r="I13" s="13"/>
      <c r="J13" s="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 s="11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 s="11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 s="11"/>
      <c r="CF13"/>
      <c r="CG13"/>
      <c r="CH13"/>
      <c r="CI13"/>
      <c r="CJ13"/>
      <c r="CK13"/>
      <c r="CL13"/>
      <c r="CM13"/>
      <c r="CN13"/>
      <c r="CO13" s="11"/>
      <c r="CP13"/>
      <c r="CQ13"/>
      <c r="CR13"/>
      <c r="CS13"/>
      <c r="CT13"/>
      <c r="CU13"/>
      <c r="CV13"/>
      <c r="CW13"/>
      <c r="CX13"/>
      <c r="CY13"/>
      <c r="CZ13" s="11"/>
      <c r="DA13" s="11"/>
      <c r="DB13" s="11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 s="2">
        <v>-1.028897738236175</v>
      </c>
    </row>
    <row r="14" spans="1:123">
      <c r="A14" s="5">
        <v>37752</v>
      </c>
      <c r="B14" s="4">
        <v>-20.014076814634201</v>
      </c>
      <c r="C14" s="2">
        <v>2007</v>
      </c>
      <c r="D14" s="7">
        <f>AVERAGE(B57:B68)</f>
        <v>0.44848390901786001</v>
      </c>
      <c r="E14" s="1">
        <v>2007</v>
      </c>
      <c r="F14"/>
      <c r="G14"/>
      <c r="H14"/>
      <c r="I14" s="13"/>
      <c r="J14" s="13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 s="11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 s="11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 s="11"/>
      <c r="CF14"/>
      <c r="CG14"/>
      <c r="CH14"/>
      <c r="CI14"/>
      <c r="CJ14"/>
      <c r="CK14"/>
      <c r="CL14"/>
      <c r="CM14"/>
      <c r="CN14"/>
      <c r="CO14" s="11"/>
      <c r="CP14"/>
      <c r="CQ14"/>
      <c r="CR14"/>
      <c r="CS14"/>
      <c r="CT14"/>
      <c r="CU14"/>
      <c r="CV14"/>
      <c r="CW14"/>
      <c r="CX14"/>
      <c r="CY14"/>
      <c r="CZ14" s="11"/>
      <c r="DA14" s="11"/>
      <c r="DB14" s="11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 s="2">
        <v>0.44848390901786001</v>
      </c>
    </row>
    <row r="15" spans="1:123">
      <c r="A15" s="5">
        <v>37818</v>
      </c>
      <c r="B15" s="4">
        <v>4.0164043826549003</v>
      </c>
      <c r="C15" s="2">
        <v>2008</v>
      </c>
      <c r="D15" s="7">
        <f>AVERAGE(B69:B80)</f>
        <v>0.71160959880541597</v>
      </c>
      <c r="E15" s="1">
        <v>2008</v>
      </c>
      <c r="F15">
        <v>61.1</v>
      </c>
      <c r="G15">
        <v>77.7</v>
      </c>
      <c r="H15">
        <v>74.05</v>
      </c>
      <c r="I15" s="13">
        <v>207.4</v>
      </c>
      <c r="J15" s="13">
        <v>205.4</v>
      </c>
      <c r="K15"/>
      <c r="L15">
        <v>78.89</v>
      </c>
      <c r="M15">
        <v>61.76</v>
      </c>
      <c r="N15"/>
      <c r="O15">
        <v>74.23</v>
      </c>
      <c r="P15">
        <v>25.15</v>
      </c>
      <c r="Q15"/>
      <c r="R15">
        <v>46.97</v>
      </c>
      <c r="S15">
        <v>39.31</v>
      </c>
      <c r="T15">
        <v>21.62</v>
      </c>
      <c r="U15">
        <v>13.55</v>
      </c>
      <c r="V15">
        <v>12.65</v>
      </c>
      <c r="W15">
        <v>13.15</v>
      </c>
      <c r="X15"/>
      <c r="Y15">
        <v>9.02</v>
      </c>
      <c r="Z15">
        <v>56.05</v>
      </c>
      <c r="AA15"/>
      <c r="AB15"/>
      <c r="AC15">
        <v>13.44</v>
      </c>
      <c r="AD15"/>
      <c r="AE15">
        <v>16.95</v>
      </c>
      <c r="AF15">
        <v>27.33</v>
      </c>
      <c r="AG15"/>
      <c r="AH15">
        <v>5.0999999999999996</v>
      </c>
      <c r="AI15">
        <v>8.57</v>
      </c>
      <c r="AJ15">
        <v>9.4499999999999993</v>
      </c>
      <c r="AK15">
        <v>3.88</v>
      </c>
      <c r="AL15">
        <v>6.9</v>
      </c>
      <c r="AM15"/>
      <c r="AN15">
        <v>24.05</v>
      </c>
      <c r="AO15"/>
      <c r="AP15"/>
      <c r="AQ15">
        <v>26.97</v>
      </c>
      <c r="AR15">
        <v>6.45</v>
      </c>
      <c r="AS15">
        <v>11.13</v>
      </c>
      <c r="AT15">
        <v>10.97</v>
      </c>
      <c r="AU15"/>
      <c r="AV15" s="11"/>
      <c r="AW15">
        <v>8.5</v>
      </c>
      <c r="AX15">
        <v>52.65</v>
      </c>
      <c r="AY15">
        <v>75.55</v>
      </c>
      <c r="AZ15">
        <v>3.65</v>
      </c>
      <c r="BA15">
        <v>35.340000000000003</v>
      </c>
      <c r="BB15">
        <v>41.4</v>
      </c>
      <c r="BC15">
        <v>11.5</v>
      </c>
      <c r="BD15"/>
      <c r="BE15">
        <v>29.8</v>
      </c>
      <c r="BF15"/>
      <c r="BG15">
        <v>57.4</v>
      </c>
      <c r="BH15"/>
      <c r="BI15"/>
      <c r="BJ15"/>
      <c r="BK15">
        <v>1.6</v>
      </c>
      <c r="BL15"/>
      <c r="BM15">
        <v>5.35</v>
      </c>
      <c r="BN15" s="11"/>
      <c r="BO15">
        <v>2.56</v>
      </c>
      <c r="BP15">
        <v>12.25</v>
      </c>
      <c r="BQ15">
        <v>5.05</v>
      </c>
      <c r="BR15">
        <v>6.55</v>
      </c>
      <c r="BS15">
        <v>100.3</v>
      </c>
      <c r="BT15">
        <v>43.67</v>
      </c>
      <c r="BU15">
        <v>2.0499999999999998</v>
      </c>
      <c r="BV15">
        <v>17.98</v>
      </c>
      <c r="BW15">
        <v>38.020000000000003</v>
      </c>
      <c r="BX15">
        <v>2</v>
      </c>
      <c r="BY15">
        <v>13.78</v>
      </c>
      <c r="BZ15">
        <v>2.95</v>
      </c>
      <c r="CA15">
        <v>39.86</v>
      </c>
      <c r="CB15">
        <v>19.66</v>
      </c>
      <c r="CC15">
        <v>93.83</v>
      </c>
      <c r="CD15"/>
      <c r="CE15" s="11">
        <v>116.91</v>
      </c>
      <c r="CF15">
        <v>1.94</v>
      </c>
      <c r="CG15">
        <v>70.06</v>
      </c>
      <c r="CH15">
        <v>20.149999999999999</v>
      </c>
      <c r="CI15">
        <v>13.6</v>
      </c>
      <c r="CJ15">
        <v>50.3</v>
      </c>
      <c r="CK15">
        <v>7.47</v>
      </c>
      <c r="CL15">
        <v>115.96</v>
      </c>
      <c r="CM15">
        <v>40.549999999999997</v>
      </c>
      <c r="CN15">
        <v>14.44</v>
      </c>
      <c r="CO15" s="11">
        <v>116.42</v>
      </c>
      <c r="CP15">
        <v>57.65</v>
      </c>
      <c r="CQ15">
        <v>30.99</v>
      </c>
      <c r="CR15">
        <v>77.78</v>
      </c>
      <c r="CS15">
        <v>13.17</v>
      </c>
      <c r="CT15">
        <v>32.22</v>
      </c>
      <c r="CU15">
        <v>82.2</v>
      </c>
      <c r="CV15">
        <v>153.03</v>
      </c>
      <c r="CW15">
        <v>119.45</v>
      </c>
      <c r="CX15"/>
      <c r="CY15"/>
      <c r="CZ15" s="11">
        <v>164.88</v>
      </c>
      <c r="DA15" s="11">
        <v>99.5</v>
      </c>
      <c r="DB15" s="11">
        <v>146.54</v>
      </c>
      <c r="DC15">
        <v>45.3</v>
      </c>
      <c r="DD15">
        <v>29.06</v>
      </c>
      <c r="DE15">
        <v>57.9</v>
      </c>
      <c r="DF15"/>
      <c r="DG15"/>
      <c r="DH15"/>
      <c r="DI15"/>
      <c r="DJ15"/>
      <c r="DK15"/>
      <c r="DL15"/>
      <c r="DM15"/>
      <c r="DN15"/>
      <c r="DO15"/>
      <c r="DP15"/>
      <c r="DQ15"/>
      <c r="DR15"/>
      <c r="DS15" s="2">
        <v>0.71160959880541597</v>
      </c>
    </row>
    <row r="16" spans="1:123">
      <c r="A16" s="5">
        <v>37849</v>
      </c>
      <c r="B16" s="4">
        <v>10.8415119772576</v>
      </c>
      <c r="C16" s="2">
        <v>2009</v>
      </c>
      <c r="D16" s="7">
        <f>AVERAGE(B81:B92)</f>
        <v>-3.1274383117916855</v>
      </c>
      <c r="E16" s="1">
        <v>2009</v>
      </c>
      <c r="F16"/>
      <c r="G16"/>
      <c r="H16"/>
      <c r="I16" s="13"/>
      <c r="J16" s="13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 s="11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 s="11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 s="11"/>
      <c r="CF16"/>
      <c r="CG16"/>
      <c r="CH16"/>
      <c r="CI16"/>
      <c r="CJ16"/>
      <c r="CK16"/>
      <c r="CL16"/>
      <c r="CM16"/>
      <c r="CN16"/>
      <c r="CO16" s="11"/>
      <c r="CP16"/>
      <c r="CQ16"/>
      <c r="CR16"/>
      <c r="CS16"/>
      <c r="CT16"/>
      <c r="CU16"/>
      <c r="CV16"/>
      <c r="CW16"/>
      <c r="CX16"/>
      <c r="CY16"/>
      <c r="CZ16" s="11"/>
      <c r="DA16" s="11"/>
      <c r="DB16" s="11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 s="2">
        <v>-3.1274383117916855</v>
      </c>
    </row>
    <row r="17" spans="1:123">
      <c r="A17" s="5">
        <v>37880</v>
      </c>
      <c r="B17" s="4">
        <v>16.663091070371099</v>
      </c>
      <c r="C17" s="2">
        <v>2010</v>
      </c>
      <c r="D17" s="7">
        <f>AVERAGE(B93:B104)</f>
        <v>5.2702430677438477</v>
      </c>
      <c r="E17" s="1">
        <v>2010</v>
      </c>
      <c r="F17"/>
      <c r="G17"/>
      <c r="H17"/>
      <c r="I17" s="13"/>
      <c r="J17" s="13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 s="11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 s="11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 s="11"/>
      <c r="CF17"/>
      <c r="CG17"/>
      <c r="CH17"/>
      <c r="CI17"/>
      <c r="CJ17"/>
      <c r="CK17"/>
      <c r="CL17"/>
      <c r="CM17"/>
      <c r="CN17"/>
      <c r="CO17" s="11"/>
      <c r="CP17"/>
      <c r="CQ17"/>
      <c r="CR17"/>
      <c r="CS17"/>
      <c r="CT17"/>
      <c r="CU17"/>
      <c r="CV17"/>
      <c r="CW17"/>
      <c r="CX17"/>
      <c r="CY17"/>
      <c r="CZ17" s="11"/>
      <c r="DA17" s="11"/>
      <c r="DB17" s="11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 s="2">
        <v>5.2702430677438477</v>
      </c>
    </row>
    <row r="18" spans="1:123">
      <c r="A18" s="5">
        <v>37910</v>
      </c>
      <c r="B18" s="4">
        <v>23.91724170314</v>
      </c>
      <c r="C18" s="2">
        <v>2011</v>
      </c>
      <c r="D18" s="7">
        <f>AVERAGE(B105:B113)</f>
        <v>4.8686287494589475</v>
      </c>
      <c r="E18" s="1">
        <v>2011</v>
      </c>
      <c r="F18"/>
      <c r="G18"/>
      <c r="H18"/>
      <c r="I18" s="13"/>
      <c r="J18" s="13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 s="11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 s="11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 s="11"/>
      <c r="CF18"/>
      <c r="CG18"/>
      <c r="CH18"/>
      <c r="CI18"/>
      <c r="CJ18"/>
      <c r="CK18"/>
      <c r="CL18"/>
      <c r="CM18"/>
      <c r="CN18"/>
      <c r="CO18" s="11"/>
      <c r="CP18"/>
      <c r="CQ18"/>
      <c r="CR18"/>
      <c r="CS18"/>
      <c r="CT18"/>
      <c r="CU18"/>
      <c r="CV18"/>
      <c r="CW18"/>
      <c r="CX18"/>
      <c r="CY18"/>
      <c r="CZ18" s="11"/>
      <c r="DA18" s="11"/>
      <c r="DB18" s="11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 s="2">
        <v>4.8686287494589475</v>
      </c>
    </row>
    <row r="19" spans="1:123">
      <c r="A19" s="5">
        <v>37941</v>
      </c>
      <c r="B19" s="4">
        <v>21.3430874043875</v>
      </c>
      <c r="C19" s="2">
        <v>2012</v>
      </c>
      <c r="D19" s="7">
        <f>AVERAGE(B114:B124)</f>
        <v>1.4136868359762391</v>
      </c>
      <c r="E19" s="1">
        <v>2012</v>
      </c>
      <c r="F19"/>
      <c r="G19"/>
      <c r="H19"/>
      <c r="I19" s="13"/>
      <c r="J19" s="13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 s="11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 s="11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 s="11"/>
      <c r="CF19"/>
      <c r="CG19"/>
      <c r="CH19"/>
      <c r="CI19"/>
      <c r="CJ19"/>
      <c r="CK19"/>
      <c r="CL19"/>
      <c r="CM19"/>
      <c r="CN19"/>
      <c r="CO19" s="11"/>
      <c r="CP19"/>
      <c r="CQ19"/>
      <c r="CR19"/>
      <c r="CS19"/>
      <c r="CT19"/>
      <c r="CU19"/>
      <c r="CV19"/>
      <c r="CW19"/>
      <c r="CX19"/>
      <c r="CY19"/>
      <c r="CZ19" s="11"/>
      <c r="DA19" s="11"/>
      <c r="DB19" s="11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 s="2">
        <v>1.4136868359762391</v>
      </c>
    </row>
    <row r="20" spans="1:123">
      <c r="A20" s="5">
        <v>37971</v>
      </c>
      <c r="B20" s="4">
        <v>11.042636979723699</v>
      </c>
      <c r="C20" s="2">
        <v>2013</v>
      </c>
      <c r="D20" s="7">
        <f>AVERAGE(B125:B133)</f>
        <v>-1.8343609004999404</v>
      </c>
      <c r="E20" s="1">
        <v>2013</v>
      </c>
      <c r="F20">
        <v>60.41</v>
      </c>
      <c r="G20">
        <v>75.75</v>
      </c>
      <c r="H20">
        <v>69.7</v>
      </c>
      <c r="I20" s="13">
        <v>207.5</v>
      </c>
      <c r="J20" s="13">
        <v>200</v>
      </c>
      <c r="K20"/>
      <c r="L20">
        <v>79.61</v>
      </c>
      <c r="M20">
        <v>61.88</v>
      </c>
      <c r="N20"/>
      <c r="O20"/>
      <c r="P20">
        <v>29.2</v>
      </c>
      <c r="Q20"/>
      <c r="R20">
        <v>47.21</v>
      </c>
      <c r="S20">
        <v>40.090000000000003</v>
      </c>
      <c r="T20">
        <v>21.78</v>
      </c>
      <c r="U20">
        <v>13.7</v>
      </c>
      <c r="V20">
        <v>12.75</v>
      </c>
      <c r="W20">
        <v>16.100000000000001</v>
      </c>
      <c r="X20"/>
      <c r="Y20">
        <v>22.4</v>
      </c>
      <c r="Z20">
        <v>56.15</v>
      </c>
      <c r="AA20"/>
      <c r="AB20"/>
      <c r="AC20">
        <v>14.16</v>
      </c>
      <c r="AD20"/>
      <c r="AE20">
        <v>18.149999999999999</v>
      </c>
      <c r="AF20">
        <v>27.7</v>
      </c>
      <c r="AG20"/>
      <c r="AH20">
        <v>4.55</v>
      </c>
      <c r="AI20">
        <v>8.0500000000000007</v>
      </c>
      <c r="AJ20">
        <v>7.9</v>
      </c>
      <c r="AK20"/>
      <c r="AL20">
        <v>6.9</v>
      </c>
      <c r="AM20"/>
      <c r="AN20">
        <v>26.4</v>
      </c>
      <c r="AO20"/>
      <c r="AP20"/>
      <c r="AQ20">
        <v>27.15</v>
      </c>
      <c r="AR20">
        <v>5.7</v>
      </c>
      <c r="AS20">
        <v>12.2</v>
      </c>
      <c r="AT20">
        <v>10.73</v>
      </c>
      <c r="AU20"/>
      <c r="AV20" s="11"/>
      <c r="AW20"/>
      <c r="AX20">
        <v>53.41</v>
      </c>
      <c r="AY20">
        <v>77.2</v>
      </c>
      <c r="AZ20">
        <v>3.4</v>
      </c>
      <c r="BA20"/>
      <c r="BB20"/>
      <c r="BC20">
        <v>12.15</v>
      </c>
      <c r="BD20"/>
      <c r="BE20">
        <v>30.7</v>
      </c>
      <c r="BF20"/>
      <c r="BG20">
        <v>59.13</v>
      </c>
      <c r="BH20"/>
      <c r="BI20"/>
      <c r="BJ20"/>
      <c r="BK20">
        <v>2.0099999999999998</v>
      </c>
      <c r="BL20"/>
      <c r="BM20"/>
      <c r="BN20" s="11"/>
      <c r="BO20">
        <v>1.1499999999999999</v>
      </c>
      <c r="BP20">
        <v>13.18</v>
      </c>
      <c r="BQ20">
        <v>5.0999999999999996</v>
      </c>
      <c r="BR20">
        <v>7</v>
      </c>
      <c r="BS20">
        <v>100.55</v>
      </c>
      <c r="BT20"/>
      <c r="BU20">
        <v>2</v>
      </c>
      <c r="BV20">
        <v>18.8</v>
      </c>
      <c r="BW20">
        <v>40.74</v>
      </c>
      <c r="BX20"/>
      <c r="BY20">
        <v>13.81</v>
      </c>
      <c r="BZ20">
        <v>2.0699999999999998</v>
      </c>
      <c r="CA20">
        <v>40.799999999999997</v>
      </c>
      <c r="CB20"/>
      <c r="CC20">
        <v>112.21</v>
      </c>
      <c r="CD20"/>
      <c r="CE20" s="11">
        <v>117.3</v>
      </c>
      <c r="CF20">
        <v>1.8</v>
      </c>
      <c r="CG20">
        <v>69.81</v>
      </c>
      <c r="CH20"/>
      <c r="CI20">
        <v>11.7</v>
      </c>
      <c r="CJ20">
        <v>67</v>
      </c>
      <c r="CK20">
        <v>7.5</v>
      </c>
      <c r="CL20"/>
      <c r="CM20">
        <v>38.119999999999997</v>
      </c>
      <c r="CN20">
        <v>13.7</v>
      </c>
      <c r="CO20" s="11">
        <v>116.5</v>
      </c>
      <c r="CP20">
        <v>57.9</v>
      </c>
      <c r="CQ20">
        <v>30.47</v>
      </c>
      <c r="CR20">
        <v>79.12</v>
      </c>
      <c r="CS20">
        <v>13.76</v>
      </c>
      <c r="CT20">
        <v>37.5</v>
      </c>
      <c r="CU20">
        <v>78.599999999999994</v>
      </c>
      <c r="CV20">
        <v>153.15</v>
      </c>
      <c r="CW20">
        <v>119.5</v>
      </c>
      <c r="CX20"/>
      <c r="CY20"/>
      <c r="CZ20" s="11">
        <v>169.12</v>
      </c>
      <c r="DA20" s="11">
        <v>110.05</v>
      </c>
      <c r="DB20" s="11"/>
      <c r="DC20">
        <v>40</v>
      </c>
      <c r="DD20">
        <v>34.81</v>
      </c>
      <c r="DE20">
        <v>64.5</v>
      </c>
      <c r="DF20"/>
      <c r="DG20"/>
      <c r="DH20"/>
      <c r="DI20"/>
      <c r="DJ20"/>
      <c r="DK20"/>
      <c r="DL20"/>
      <c r="DM20"/>
      <c r="DN20"/>
      <c r="DO20"/>
      <c r="DP20"/>
      <c r="DQ20"/>
      <c r="DR20"/>
      <c r="DS20" s="2">
        <v>-1.8343609004999404</v>
      </c>
    </row>
    <row r="21" spans="1:123">
      <c r="A21" s="5">
        <v>37993</v>
      </c>
      <c r="B21" s="4">
        <v>8.3038450650670299</v>
      </c>
      <c r="C21" s="2">
        <v>2014</v>
      </c>
      <c r="D21" s="7">
        <f>AVERAGE(B134:B142)</f>
        <v>3.6344784149906491</v>
      </c>
      <c r="E21" s="1">
        <v>2014</v>
      </c>
      <c r="F21"/>
      <c r="G21"/>
      <c r="H21"/>
      <c r="I21" s="13"/>
      <c r="J21" s="13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 s="1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 s="1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 s="11"/>
      <c r="CF21"/>
      <c r="CG21"/>
      <c r="CH21"/>
      <c r="CI21"/>
      <c r="CJ21"/>
      <c r="CK21"/>
      <c r="CL21"/>
      <c r="CM21"/>
      <c r="CN21"/>
      <c r="CO21" s="11"/>
      <c r="CP21"/>
      <c r="CQ21"/>
      <c r="CR21"/>
      <c r="CS21"/>
      <c r="CT21"/>
      <c r="CU21"/>
      <c r="CV21"/>
      <c r="CW21"/>
      <c r="CX21"/>
      <c r="CY21"/>
      <c r="CZ21" s="11"/>
      <c r="DA21" s="11"/>
      <c r="DB21" s="1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 s="2">
        <v>3.6344784149906491</v>
      </c>
    </row>
    <row r="22" spans="1:123">
      <c r="A22" s="5">
        <v>38034</v>
      </c>
      <c r="B22" s="4">
        <v>0.59408571629642704</v>
      </c>
      <c r="C22" s="2">
        <v>2015</v>
      </c>
      <c r="D22" s="7">
        <f>AVERAGE(B143:B151)</f>
        <v>-2.7122263202294925</v>
      </c>
      <c r="E22" s="1">
        <v>2015</v>
      </c>
      <c r="F22"/>
      <c r="G22"/>
      <c r="H22"/>
      <c r="I22" s="13"/>
      <c r="J22" s="13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 s="11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 s="11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 s="11"/>
      <c r="CF22"/>
      <c r="CG22"/>
      <c r="CH22"/>
      <c r="CI22"/>
      <c r="CJ22"/>
      <c r="CK22"/>
      <c r="CL22"/>
      <c r="CM22"/>
      <c r="CN22"/>
      <c r="CO22" s="11"/>
      <c r="CP22"/>
      <c r="CQ22"/>
      <c r="CR22"/>
      <c r="CS22"/>
      <c r="CT22"/>
      <c r="CU22"/>
      <c r="CV22"/>
      <c r="CW22"/>
      <c r="CX22"/>
      <c r="CY22"/>
      <c r="CZ22" s="11"/>
      <c r="DA22" s="11"/>
      <c r="DB22" s="11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 s="2">
        <v>-2.7122263202294925</v>
      </c>
    </row>
    <row r="23" spans="1:123">
      <c r="A23" s="5">
        <v>38062</v>
      </c>
      <c r="B23" s="4">
        <v>-5.9103054186529702</v>
      </c>
      <c r="C23" s="2">
        <v>2016</v>
      </c>
      <c r="D23" s="7">
        <f>AVERAGE(B152:B160)</f>
        <v>-6.7756130159428096</v>
      </c>
      <c r="E23" s="1">
        <v>2016</v>
      </c>
      <c r="F23"/>
      <c r="G23"/>
      <c r="H23"/>
      <c r="I23" s="13"/>
      <c r="J23" s="1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 s="11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 s="11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 s="11"/>
      <c r="CF23"/>
      <c r="CG23"/>
      <c r="CH23"/>
      <c r="CI23"/>
      <c r="CJ23"/>
      <c r="CK23"/>
      <c r="CL23"/>
      <c r="CM23"/>
      <c r="CN23"/>
      <c r="CO23" s="11"/>
      <c r="CP23"/>
      <c r="CQ23"/>
      <c r="CR23"/>
      <c r="CS23"/>
      <c r="CT23"/>
      <c r="CU23"/>
      <c r="CV23"/>
      <c r="CW23"/>
      <c r="CX23"/>
      <c r="CY23"/>
      <c r="CZ23" s="11"/>
      <c r="DA23" s="11"/>
      <c r="DB23" s="11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 s="2">
        <v>-6.7756130159428096</v>
      </c>
    </row>
    <row r="24" spans="1:123">
      <c r="A24" s="5">
        <v>38093</v>
      </c>
      <c r="B24" s="4">
        <v>-9.7857981777019099</v>
      </c>
      <c r="C24" s="2">
        <v>2017</v>
      </c>
      <c r="D24" s="7">
        <f>AVERAGE(B161:B165)</f>
        <v>-15.748095779886009</v>
      </c>
      <c r="E24" s="1">
        <v>2017</v>
      </c>
      <c r="F24"/>
      <c r="G24"/>
      <c r="H24"/>
      <c r="I24" s="13"/>
      <c r="J24" s="13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 s="11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 s="11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 s="11"/>
      <c r="CF24"/>
      <c r="CG24"/>
      <c r="CH24"/>
      <c r="CI24"/>
      <c r="CJ24"/>
      <c r="CK24"/>
      <c r="CL24"/>
      <c r="CM24"/>
      <c r="CN24"/>
      <c r="CO24" s="11"/>
      <c r="CP24"/>
      <c r="CQ24"/>
      <c r="CR24"/>
      <c r="CS24"/>
      <c r="CT24"/>
      <c r="CU24"/>
      <c r="CV24"/>
      <c r="CW24"/>
      <c r="CX24"/>
      <c r="CY24"/>
      <c r="CZ24" s="11"/>
      <c r="DA24" s="11"/>
      <c r="DB24" s="11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 s="2">
        <v>-15.748095779886009</v>
      </c>
    </row>
    <row r="25" spans="1:123">
      <c r="A25" s="5">
        <v>38123</v>
      </c>
      <c r="B25" s="4">
        <v>-12.526884856281301</v>
      </c>
      <c r="C25" s="2">
        <v>2018</v>
      </c>
      <c r="D25" s="7">
        <f>AVERAGE(B166:B170)</f>
        <v>1.4234391186884203</v>
      </c>
      <c r="E25" s="1">
        <v>2018</v>
      </c>
      <c r="F25"/>
      <c r="G25"/>
      <c r="H25"/>
      <c r="I25" s="13"/>
      <c r="J25" s="13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 s="11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 s="11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 s="11"/>
      <c r="CF25"/>
      <c r="CG25"/>
      <c r="CH25"/>
      <c r="CI25"/>
      <c r="CJ25"/>
      <c r="CK25"/>
      <c r="CL25"/>
      <c r="CM25"/>
      <c r="CN25"/>
      <c r="CO25" s="11"/>
      <c r="CP25"/>
      <c r="CQ25"/>
      <c r="CR25"/>
      <c r="CS25"/>
      <c r="CT25"/>
      <c r="CU25"/>
      <c r="CV25"/>
      <c r="CW25"/>
      <c r="CX25"/>
      <c r="CY25"/>
      <c r="CZ25" s="11"/>
      <c r="DA25" s="11"/>
      <c r="DB25" s="11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 s="2">
        <v>1.4234391186884203</v>
      </c>
    </row>
    <row r="26" spans="1:123">
      <c r="A26" s="5">
        <v>38154</v>
      </c>
      <c r="B26" s="4">
        <v>-1.2844791599749801</v>
      </c>
      <c r="C26" s="2">
        <v>2019</v>
      </c>
      <c r="D26" s="7">
        <f>AVERAGE(B171:B182)</f>
        <v>-10.848649765987302</v>
      </c>
      <c r="E26" s="1">
        <v>2019</v>
      </c>
      <c r="F26"/>
      <c r="G26"/>
      <c r="H26"/>
      <c r="I26" s="13"/>
      <c r="J26" s="13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 s="11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 s="11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 s="11"/>
      <c r="CF26"/>
      <c r="CG26"/>
      <c r="CH26"/>
      <c r="CI26"/>
      <c r="CJ26"/>
      <c r="CK26"/>
      <c r="CL26"/>
      <c r="CM26"/>
      <c r="CN26"/>
      <c r="CO26" s="11"/>
      <c r="CP26"/>
      <c r="CQ26"/>
      <c r="CR26"/>
      <c r="CS26"/>
      <c r="CT26"/>
      <c r="CU26"/>
      <c r="CV26"/>
      <c r="CW26"/>
      <c r="CX26"/>
      <c r="CY26"/>
      <c r="CZ26" s="11"/>
      <c r="DA26" s="11"/>
      <c r="DB26" s="11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 s="2">
        <v>-10.848649765987302</v>
      </c>
    </row>
    <row r="27" spans="1:123">
      <c r="A27" s="5">
        <v>38184</v>
      </c>
      <c r="B27" s="4">
        <v>5.2926968141724098</v>
      </c>
      <c r="C27" s="2">
        <v>2020</v>
      </c>
      <c r="D27" s="7">
        <f>AVERAGE(B183:B194)</f>
        <v>-13.503811046671879</v>
      </c>
      <c r="E27" s="1">
        <v>2020</v>
      </c>
      <c r="F27"/>
      <c r="G27"/>
      <c r="H27"/>
      <c r="I27" s="13"/>
      <c r="J27" s="13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 s="11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 s="11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 s="11"/>
      <c r="CF27"/>
      <c r="CG27"/>
      <c r="CH27"/>
      <c r="CI27"/>
      <c r="CJ27"/>
      <c r="CK27"/>
      <c r="CL27"/>
      <c r="CM27"/>
      <c r="CN27"/>
      <c r="CO27" s="11"/>
      <c r="CP27"/>
      <c r="CQ27"/>
      <c r="CR27"/>
      <c r="CS27"/>
      <c r="CT27"/>
      <c r="CU27"/>
      <c r="CV27"/>
      <c r="CW27"/>
      <c r="CX27"/>
      <c r="CY27"/>
      <c r="CZ27" s="11"/>
      <c r="DA27" s="11"/>
      <c r="DB27" s="11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 s="2">
        <v>-13.503811046671879</v>
      </c>
    </row>
    <row r="28" spans="1:123">
      <c r="A28" s="5">
        <v>38215</v>
      </c>
      <c r="B28" s="4">
        <v>7.6894514671326304</v>
      </c>
      <c r="C28" s="2">
        <v>2021</v>
      </c>
      <c r="D28" s="7">
        <f>AVERAGE(B195:B206)</f>
        <v>-12.782798656899482</v>
      </c>
      <c r="E28" s="1">
        <v>2021</v>
      </c>
      <c r="F28"/>
      <c r="G28"/>
      <c r="H28"/>
      <c r="I28" s="13"/>
      <c r="J28" s="13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 s="11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 s="11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 s="11"/>
      <c r="CF28"/>
      <c r="CG28"/>
      <c r="CH28"/>
      <c r="CI28"/>
      <c r="CJ28"/>
      <c r="CK28"/>
      <c r="CL28"/>
      <c r="CM28"/>
      <c r="CN28"/>
      <c r="CO28" s="11"/>
      <c r="CP28"/>
      <c r="CQ28"/>
      <c r="CR28"/>
      <c r="CS28"/>
      <c r="CT28"/>
      <c r="CU28"/>
      <c r="CV28"/>
      <c r="CW28"/>
      <c r="CX28"/>
      <c r="CY28"/>
      <c r="CZ28" s="11"/>
      <c r="DA28" s="11"/>
      <c r="DB28" s="11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 s="2">
        <v>-12.782798656899482</v>
      </c>
    </row>
    <row r="29" spans="1:123">
      <c r="A29" s="5">
        <v>38246</v>
      </c>
      <c r="B29" s="4">
        <v>12.875836285183601</v>
      </c>
      <c r="C29" s="2">
        <v>2022</v>
      </c>
      <c r="D29" s="7">
        <f>AVERAGE(B207:B218)</f>
        <v>-10.979056520044734</v>
      </c>
      <c r="E29" s="1">
        <v>2022</v>
      </c>
      <c r="F29">
        <v>65</v>
      </c>
      <c r="G29">
        <v>82</v>
      </c>
      <c r="H29">
        <v>78</v>
      </c>
      <c r="I29" s="13">
        <v>210</v>
      </c>
      <c r="J29" s="13">
        <v>212</v>
      </c>
      <c r="K29"/>
      <c r="L29"/>
      <c r="M29"/>
      <c r="N29"/>
      <c r="O29"/>
      <c r="P29">
        <v>40</v>
      </c>
      <c r="Q29"/>
      <c r="R29">
        <v>49.63</v>
      </c>
      <c r="S29">
        <v>60</v>
      </c>
      <c r="T29"/>
      <c r="U29"/>
      <c r="V29"/>
      <c r="W29">
        <v>18</v>
      </c>
      <c r="X29"/>
      <c r="Y29">
        <v>30</v>
      </c>
      <c r="Z29"/>
      <c r="AA29">
        <v>63.2</v>
      </c>
      <c r="AB29"/>
      <c r="AC29">
        <v>16</v>
      </c>
      <c r="AD29">
        <v>54</v>
      </c>
      <c r="AE29">
        <v>19</v>
      </c>
      <c r="AF29"/>
      <c r="AG29">
        <v>34.020000000000003</v>
      </c>
      <c r="AH29">
        <v>15</v>
      </c>
      <c r="AI29">
        <v>9</v>
      </c>
      <c r="AJ29"/>
      <c r="AK29"/>
      <c r="AL29">
        <v>21</v>
      </c>
      <c r="AM29"/>
      <c r="AN29">
        <v>33.1</v>
      </c>
      <c r="AO29">
        <v>13.8</v>
      </c>
      <c r="AP29"/>
      <c r="AQ29">
        <v>28</v>
      </c>
      <c r="AR29">
        <v>4.13</v>
      </c>
      <c r="AS29"/>
      <c r="AT29">
        <v>10.1</v>
      </c>
      <c r="AU29"/>
      <c r="AV29" s="11"/>
      <c r="AW29">
        <v>6.14</v>
      </c>
      <c r="AX29"/>
      <c r="AY29">
        <v>90</v>
      </c>
      <c r="AZ29">
        <v>3.63</v>
      </c>
      <c r="BA29">
        <v>57</v>
      </c>
      <c r="BB29">
        <v>47.3</v>
      </c>
      <c r="BC29">
        <v>26</v>
      </c>
      <c r="BD29"/>
      <c r="BE29">
        <v>36</v>
      </c>
      <c r="BF29"/>
      <c r="BG29"/>
      <c r="BH29"/>
      <c r="BI29"/>
      <c r="BJ29"/>
      <c r="BK29">
        <v>2</v>
      </c>
      <c r="BL29"/>
      <c r="BM29"/>
      <c r="BN29" s="11"/>
      <c r="BO29"/>
      <c r="BP29">
        <v>30</v>
      </c>
      <c r="BQ29">
        <v>15</v>
      </c>
      <c r="BR29">
        <v>7</v>
      </c>
      <c r="BS29"/>
      <c r="BT29">
        <v>47</v>
      </c>
      <c r="BU29">
        <v>2</v>
      </c>
      <c r="BV29">
        <v>25</v>
      </c>
      <c r="BW29">
        <v>40</v>
      </c>
      <c r="BX29"/>
      <c r="BY29"/>
      <c r="BZ29">
        <v>2</v>
      </c>
      <c r="CA29">
        <v>50</v>
      </c>
      <c r="CB29"/>
      <c r="CC29">
        <v>114</v>
      </c>
      <c r="CD29">
        <v>64</v>
      </c>
      <c r="CE29" s="11"/>
      <c r="CF29"/>
      <c r="CG29">
        <v>69</v>
      </c>
      <c r="CH29">
        <v>35</v>
      </c>
      <c r="CI29">
        <v>22</v>
      </c>
      <c r="CJ29">
        <v>55</v>
      </c>
      <c r="CK29"/>
      <c r="CL29"/>
      <c r="CM29">
        <v>41</v>
      </c>
      <c r="CN29"/>
      <c r="CO29" s="11">
        <v>116</v>
      </c>
      <c r="CP29"/>
      <c r="CQ29"/>
      <c r="CR29">
        <v>90</v>
      </c>
      <c r="CS29"/>
      <c r="CT29"/>
      <c r="CU29">
        <v>121.8</v>
      </c>
      <c r="CV29">
        <v>151</v>
      </c>
      <c r="CW29"/>
      <c r="CX29"/>
      <c r="CY29"/>
      <c r="CZ29" s="11"/>
      <c r="DA29" s="11"/>
      <c r="DB29" s="11"/>
      <c r="DC29"/>
      <c r="DD29">
        <v>34.26</v>
      </c>
      <c r="DE29"/>
      <c r="DF29"/>
      <c r="DG29"/>
      <c r="DH29"/>
      <c r="DI29">
        <v>36.270000000000003</v>
      </c>
      <c r="DJ29">
        <v>33.11</v>
      </c>
      <c r="DK29"/>
      <c r="DL29">
        <v>38.5</v>
      </c>
      <c r="DM29"/>
      <c r="DN29">
        <v>45.34</v>
      </c>
      <c r="DO29">
        <v>36.56</v>
      </c>
      <c r="DP29"/>
      <c r="DQ29"/>
      <c r="DR29"/>
      <c r="DS29" s="2">
        <v>-10.979056520044734</v>
      </c>
    </row>
    <row r="30" spans="1:123">
      <c r="A30" s="5">
        <v>38276</v>
      </c>
      <c r="B30" s="4">
        <v>20.3891989247672</v>
      </c>
      <c r="C30" s="2">
        <v>2023</v>
      </c>
      <c r="D30" s="7">
        <f>AVERAGE(B219:B230)</f>
        <v>-24.148673834702759</v>
      </c>
      <c r="E30" s="1">
        <v>2023</v>
      </c>
      <c r="F30">
        <v>62.19</v>
      </c>
      <c r="G30"/>
      <c r="H30"/>
      <c r="I30" s="13"/>
      <c r="J30" s="13"/>
      <c r="K30">
        <v>63.78</v>
      </c>
      <c r="L30"/>
      <c r="M30"/>
      <c r="N30">
        <v>77.709999999999994</v>
      </c>
      <c r="O30">
        <v>76.510000000000005</v>
      </c>
      <c r="P30"/>
      <c r="Q30"/>
      <c r="R30">
        <v>52.41</v>
      </c>
      <c r="S30">
        <v>59.63</v>
      </c>
      <c r="T30"/>
      <c r="U30">
        <v>20.010000000000002</v>
      </c>
      <c r="V30"/>
      <c r="W30">
        <v>19.3</v>
      </c>
      <c r="X30">
        <v>21.8</v>
      </c>
      <c r="Y30">
        <v>10.87</v>
      </c>
      <c r="Z30"/>
      <c r="AA30">
        <v>62</v>
      </c>
      <c r="AB30">
        <v>65.91</v>
      </c>
      <c r="AC30">
        <v>20.71</v>
      </c>
      <c r="AD30">
        <v>29.2</v>
      </c>
      <c r="AE30"/>
      <c r="AF30"/>
      <c r="AG30">
        <v>34.700000000000003</v>
      </c>
      <c r="AH30">
        <v>7.2</v>
      </c>
      <c r="AI30">
        <v>7.82</v>
      </c>
      <c r="AJ30">
        <v>6.74</v>
      </c>
      <c r="AK30">
        <v>3.15</v>
      </c>
      <c r="AL30"/>
      <c r="AM30">
        <v>12.73</v>
      </c>
      <c r="AN30">
        <v>24.11</v>
      </c>
      <c r="AO30">
        <v>13.85</v>
      </c>
      <c r="AP30">
        <v>11.41</v>
      </c>
      <c r="AQ30">
        <v>27.5</v>
      </c>
      <c r="AR30">
        <v>7.31</v>
      </c>
      <c r="AS30">
        <v>16.690000000000001</v>
      </c>
      <c r="AT30"/>
      <c r="AU30">
        <v>2.34</v>
      </c>
      <c r="AV30" s="11"/>
      <c r="AW30">
        <v>7.53</v>
      </c>
      <c r="AX30">
        <v>60</v>
      </c>
      <c r="AY30">
        <v>79.8</v>
      </c>
      <c r="AZ30"/>
      <c r="BA30">
        <v>36.26</v>
      </c>
      <c r="BB30"/>
      <c r="BC30"/>
      <c r="BD30">
        <v>25.4</v>
      </c>
      <c r="BE30">
        <v>34.130000000000003</v>
      </c>
      <c r="BF30"/>
      <c r="BG30"/>
      <c r="BH30"/>
      <c r="BI30">
        <v>60.9</v>
      </c>
      <c r="BJ30">
        <v>52.65</v>
      </c>
      <c r="BK30"/>
      <c r="BL30"/>
      <c r="BM30"/>
      <c r="BN30" s="11">
        <v>112.6</v>
      </c>
      <c r="BO30"/>
      <c r="BP30">
        <v>23.48</v>
      </c>
      <c r="BQ30">
        <v>14.25</v>
      </c>
      <c r="BR30"/>
      <c r="BS30"/>
      <c r="BT30"/>
      <c r="BU30"/>
      <c r="BV30">
        <v>26.8</v>
      </c>
      <c r="BW30">
        <v>42.45</v>
      </c>
      <c r="BX30">
        <v>10.42</v>
      </c>
      <c r="BY30"/>
      <c r="BZ30">
        <v>3.3</v>
      </c>
      <c r="CA30">
        <v>44.7</v>
      </c>
      <c r="CB30"/>
      <c r="CC30"/>
      <c r="CD30"/>
      <c r="CE30" s="11">
        <v>110</v>
      </c>
      <c r="CF30"/>
      <c r="CG30">
        <v>48</v>
      </c>
      <c r="CH30"/>
      <c r="CI30">
        <v>18.7</v>
      </c>
      <c r="CJ30">
        <v>27.17</v>
      </c>
      <c r="CK30">
        <v>12</v>
      </c>
      <c r="CL30"/>
      <c r="CM30">
        <v>44.86</v>
      </c>
      <c r="CN30">
        <v>10</v>
      </c>
      <c r="CO30" s="11"/>
      <c r="CP30"/>
      <c r="CQ30"/>
      <c r="CR30"/>
      <c r="CS30"/>
      <c r="CT30">
        <v>38.5</v>
      </c>
      <c r="CU30">
        <v>77.510000000000005</v>
      </c>
      <c r="CV30"/>
      <c r="CW30"/>
      <c r="CX30">
        <v>22.3</v>
      </c>
      <c r="CY30"/>
      <c r="CZ30" s="11">
        <v>163.5</v>
      </c>
      <c r="DA30" s="11">
        <v>124.8</v>
      </c>
      <c r="DB30" s="11"/>
      <c r="DC30"/>
      <c r="DD30">
        <v>33.94</v>
      </c>
      <c r="DE30"/>
      <c r="DF30">
        <v>33</v>
      </c>
      <c r="DG30">
        <v>86.43</v>
      </c>
      <c r="DH30">
        <v>50.68</v>
      </c>
      <c r="DI30"/>
      <c r="DJ30">
        <v>30.1</v>
      </c>
      <c r="DK30">
        <v>21.01</v>
      </c>
      <c r="DL30"/>
      <c r="DM30"/>
      <c r="DN30">
        <v>40.98</v>
      </c>
      <c r="DO30"/>
      <c r="DP30">
        <v>48.5</v>
      </c>
      <c r="DQ30"/>
      <c r="DR30"/>
      <c r="DS30" s="2">
        <v>-24.148673834702759</v>
      </c>
    </row>
    <row r="31" spans="1:123">
      <c r="A31" s="5">
        <v>38307</v>
      </c>
      <c r="B31" s="4">
        <v>14.590001472624399</v>
      </c>
      <c r="C31" s="2">
        <v>2024</v>
      </c>
      <c r="D31" s="7">
        <f>AVERAGE(B231:B242)</f>
        <v>-21.867561515068147</v>
      </c>
      <c r="E31" s="1">
        <v>2024</v>
      </c>
      <c r="F31"/>
      <c r="G31"/>
      <c r="H31"/>
      <c r="I31" s="13"/>
      <c r="J31" s="13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 s="1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 s="1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 s="11"/>
      <c r="CF31"/>
      <c r="CG31"/>
      <c r="CH31"/>
      <c r="CI31"/>
      <c r="CJ31"/>
      <c r="CK31"/>
      <c r="CL31"/>
      <c r="CM31"/>
      <c r="CN31"/>
      <c r="CO31" s="11"/>
      <c r="CP31"/>
      <c r="CQ31"/>
      <c r="CR31"/>
      <c r="CS31"/>
      <c r="CT31"/>
      <c r="CU31"/>
      <c r="CV31"/>
      <c r="CW31"/>
      <c r="CX31"/>
      <c r="CY31"/>
      <c r="CZ31" s="11"/>
      <c r="DA31" s="11"/>
      <c r="DB31" s="1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 s="2">
        <v>-21.867561515068147</v>
      </c>
    </row>
    <row r="32" spans="1:123">
      <c r="A32" s="5">
        <v>38337</v>
      </c>
      <c r="B32" s="4">
        <v>8.2367682218351099</v>
      </c>
      <c r="E32" s="1">
        <v>2025</v>
      </c>
      <c r="F32"/>
      <c r="G32"/>
      <c r="H32"/>
      <c r="I32" s="13"/>
      <c r="J32" s="13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 s="11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 s="11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 s="11"/>
      <c r="CF32"/>
      <c r="CG32"/>
      <c r="CH32"/>
      <c r="CI32"/>
      <c r="CJ32"/>
      <c r="CK32"/>
      <c r="CL32"/>
      <c r="CM32"/>
      <c r="CN32"/>
      <c r="CO32" s="11"/>
      <c r="CP32"/>
      <c r="CQ32"/>
      <c r="CR32"/>
      <c r="CS32"/>
      <c r="CT32"/>
      <c r="CU32"/>
      <c r="CV32"/>
      <c r="CW32"/>
      <c r="CX32"/>
      <c r="CY32"/>
      <c r="CZ32" s="11"/>
      <c r="DA32" s="11"/>
      <c r="DB32" s="11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</row>
    <row r="33" spans="1:122">
      <c r="A33" s="5">
        <v>38368</v>
      </c>
      <c r="B33" s="4">
        <v>2.0561591625478699</v>
      </c>
      <c r="E33" s="1">
        <v>2026</v>
      </c>
      <c r="F33"/>
      <c r="G33"/>
      <c r="H33"/>
      <c r="I33" s="13"/>
      <c r="J33" s="1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 s="11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 s="11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 s="11"/>
      <c r="CF33"/>
      <c r="CG33"/>
      <c r="CH33"/>
      <c r="CI33"/>
      <c r="CJ33"/>
      <c r="CK33"/>
      <c r="CL33"/>
      <c r="CM33"/>
      <c r="CN33"/>
      <c r="CO33" s="11"/>
      <c r="CP33"/>
      <c r="CQ33"/>
      <c r="CR33"/>
      <c r="CS33"/>
      <c r="CT33"/>
      <c r="CU33"/>
      <c r="CV33"/>
      <c r="CW33"/>
      <c r="CX33"/>
      <c r="CY33"/>
      <c r="CZ33" s="11"/>
      <c r="DA33" s="11"/>
      <c r="DB33" s="11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</row>
    <row r="34" spans="1:122">
      <c r="A34" s="5">
        <v>38398</v>
      </c>
      <c r="B34" s="4">
        <v>-3.97216825803884</v>
      </c>
      <c r="E34" s="10" t="s">
        <v>621</v>
      </c>
      <c r="F34" s="2">
        <f>AVERAGE(F3:F31)</f>
        <v>61.60285714285714</v>
      </c>
      <c r="G34" s="2">
        <f>AVERAGE(G3:G31)</f>
        <v>76.108333333333334</v>
      </c>
      <c r="H34" s="2">
        <f t="shared" ref="G34:BR34" si="0">AVERAGE(H3:H31)</f>
        <v>71.436000000000007</v>
      </c>
      <c r="I34" s="14">
        <f t="shared" si="0"/>
        <v>210.84333333333333</v>
      </c>
      <c r="J34" s="14">
        <f t="shared" si="0"/>
        <v>201.91142857142859</v>
      </c>
      <c r="K34" s="2">
        <f t="shared" si="0"/>
        <v>63.78</v>
      </c>
      <c r="L34" s="2">
        <f t="shared" si="0"/>
        <v>77.368333333333325</v>
      </c>
      <c r="M34" s="2">
        <f t="shared" si="0"/>
        <v>60.01</v>
      </c>
      <c r="N34" s="2">
        <f t="shared" si="0"/>
        <v>77.709999999999994</v>
      </c>
      <c r="O34" s="2">
        <f t="shared" si="0"/>
        <v>74.316666666666663</v>
      </c>
      <c r="P34" s="2">
        <f t="shared" si="0"/>
        <v>27.465000000000003</v>
      </c>
      <c r="Q34" s="2">
        <f t="shared" si="0"/>
        <v>53.68</v>
      </c>
      <c r="R34" s="2">
        <f t="shared" si="0"/>
        <v>45.942499999999995</v>
      </c>
      <c r="S34" s="2">
        <f t="shared" si="0"/>
        <v>44</v>
      </c>
      <c r="T34" s="2">
        <f t="shared" si="0"/>
        <v>21.172000000000001</v>
      </c>
      <c r="U34" s="2">
        <f t="shared" si="0"/>
        <v>14.997500000000002</v>
      </c>
      <c r="V34" s="2">
        <f t="shared" si="0"/>
        <v>11.72</v>
      </c>
      <c r="W34" s="2">
        <f t="shared" si="0"/>
        <v>14.356250000000001</v>
      </c>
      <c r="X34" s="2">
        <f t="shared" si="0"/>
        <v>21.8</v>
      </c>
      <c r="Y34" s="2">
        <f t="shared" si="0"/>
        <v>14.845000000000001</v>
      </c>
      <c r="Z34" s="2">
        <f t="shared" si="0"/>
        <v>53.375</v>
      </c>
      <c r="AA34" s="2">
        <f t="shared" si="0"/>
        <v>62.6</v>
      </c>
      <c r="AB34" s="2">
        <f t="shared" si="0"/>
        <v>65.91</v>
      </c>
      <c r="AC34" s="2">
        <f t="shared" si="0"/>
        <v>14.181249999999999</v>
      </c>
      <c r="AD34" s="2">
        <f t="shared" si="0"/>
        <v>21.014000000000003</v>
      </c>
      <c r="AE34" s="2">
        <f t="shared" si="0"/>
        <v>15.697142857142856</v>
      </c>
      <c r="AF34" s="2">
        <f t="shared" si="0"/>
        <v>29.324000000000002</v>
      </c>
      <c r="AG34" s="2">
        <f t="shared" si="0"/>
        <v>34.36</v>
      </c>
      <c r="AH34" s="2">
        <f t="shared" si="0"/>
        <v>5.9114285714285719</v>
      </c>
      <c r="AI34" s="2">
        <f t="shared" si="0"/>
        <v>8.3137499999999989</v>
      </c>
      <c r="AJ34" s="2">
        <f t="shared" si="0"/>
        <v>8.2585714285714289</v>
      </c>
      <c r="AK34" s="2">
        <f t="shared" si="0"/>
        <v>2.7416666666666667</v>
      </c>
      <c r="AL34" s="2">
        <f t="shared" si="0"/>
        <v>9.661428571428571</v>
      </c>
      <c r="AM34" s="2">
        <f t="shared" si="0"/>
        <v>12.73</v>
      </c>
      <c r="AN34" s="2">
        <f t="shared" si="0"/>
        <v>24.5625</v>
      </c>
      <c r="AO34" s="2">
        <f t="shared" si="0"/>
        <v>13.824999999999999</v>
      </c>
      <c r="AP34" s="2">
        <f t="shared" si="0"/>
        <v>11.41</v>
      </c>
      <c r="AQ34" s="2">
        <f t="shared" si="0"/>
        <v>27.498749999999998</v>
      </c>
      <c r="AR34" s="2">
        <f t="shared" si="0"/>
        <v>6.0266666666666664</v>
      </c>
      <c r="AS34" s="2">
        <f t="shared" si="0"/>
        <v>12.103999999999999</v>
      </c>
      <c r="AT34" s="2">
        <f t="shared" si="0"/>
        <v>10.768571428571429</v>
      </c>
      <c r="AU34" s="2">
        <f t="shared" si="0"/>
        <v>2.34</v>
      </c>
      <c r="AV34" s="12">
        <f t="shared" si="0"/>
        <v>106.49249999999999</v>
      </c>
      <c r="AW34" s="2">
        <f t="shared" si="0"/>
        <v>6.7414285714285711</v>
      </c>
      <c r="AX34" s="2">
        <f t="shared" si="0"/>
        <v>52.120000000000005</v>
      </c>
      <c r="AY34" s="2">
        <f t="shared" si="0"/>
        <v>77.78857142857143</v>
      </c>
      <c r="AZ34" s="2">
        <f t="shared" si="0"/>
        <v>3.4685714285714284</v>
      </c>
      <c r="BA34" s="2">
        <f t="shared" si="0"/>
        <v>37.504285714285722</v>
      </c>
      <c r="BB34" s="2">
        <f t="shared" si="0"/>
        <v>48.254999999999995</v>
      </c>
      <c r="BC34" s="2">
        <f t="shared" si="0"/>
        <v>12.707142857142856</v>
      </c>
      <c r="BD34" s="2">
        <f t="shared" si="0"/>
        <v>25.4</v>
      </c>
      <c r="BE34" s="2">
        <f t="shared" si="0"/>
        <v>30.0075</v>
      </c>
      <c r="BF34" s="2">
        <f t="shared" si="0"/>
        <v>0.25</v>
      </c>
      <c r="BG34" s="2">
        <f t="shared" si="0"/>
        <v>56.646666666666668</v>
      </c>
      <c r="BH34" s="2">
        <f t="shared" si="0"/>
        <v>56.7425</v>
      </c>
      <c r="BI34" s="2">
        <f t="shared" si="0"/>
        <v>52.542499999999997</v>
      </c>
      <c r="BJ34" s="2">
        <f t="shared" si="0"/>
        <v>45.267500000000005</v>
      </c>
      <c r="BK34" s="2">
        <f t="shared" si="0"/>
        <v>1.4466666666666665</v>
      </c>
      <c r="BL34" s="2">
        <f t="shared" si="0"/>
        <v>59.92</v>
      </c>
      <c r="BM34" s="2">
        <f t="shared" si="0"/>
        <v>5.1349999999999998</v>
      </c>
      <c r="BN34" s="12">
        <f t="shared" si="0"/>
        <v>103.11599999999999</v>
      </c>
      <c r="BO34" s="2">
        <f t="shared" si="0"/>
        <v>1.446666666666667</v>
      </c>
      <c r="BP34" s="2">
        <f t="shared" si="0"/>
        <v>14.58375</v>
      </c>
      <c r="BQ34" s="2">
        <f t="shared" si="0"/>
        <v>6.61</v>
      </c>
      <c r="BR34" s="2">
        <f t="shared" si="0"/>
        <v>6.6766666666666667</v>
      </c>
      <c r="BS34" s="2">
        <f t="shared" ref="BS34:DR34" si="1">AVERAGE(BS3:BS31)</f>
        <v>98.42</v>
      </c>
      <c r="BT34" s="2">
        <f t="shared" si="1"/>
        <v>42.813333333333333</v>
      </c>
      <c r="BU34" s="2">
        <f t="shared" si="1"/>
        <v>1.8839999999999999</v>
      </c>
      <c r="BV34" s="2">
        <f t="shared" si="1"/>
        <v>19.361428571428572</v>
      </c>
      <c r="BW34" s="2">
        <f t="shared" si="1"/>
        <v>37.104285714285716</v>
      </c>
      <c r="BX34" s="2">
        <f t="shared" si="1"/>
        <v>5.0066666666666668</v>
      </c>
      <c r="BY34" s="2">
        <f t="shared" si="1"/>
        <v>11.346666666666666</v>
      </c>
      <c r="BZ34" s="2">
        <f t="shared" si="1"/>
        <v>2.38625</v>
      </c>
      <c r="CA34" s="2">
        <f t="shared" si="1"/>
        <v>40.90625</v>
      </c>
      <c r="CB34" s="2">
        <f t="shared" si="1"/>
        <v>20.256666666666664</v>
      </c>
      <c r="CC34" s="2">
        <f t="shared" si="1"/>
        <v>96.584999999999994</v>
      </c>
      <c r="CD34" s="2">
        <f t="shared" si="1"/>
        <v>41.3</v>
      </c>
      <c r="CE34" s="12">
        <f t="shared" si="1"/>
        <v>114.45</v>
      </c>
      <c r="CF34" s="2">
        <f t="shared" si="1"/>
        <v>1.6816666666666666</v>
      </c>
      <c r="CG34" s="2">
        <f t="shared" si="1"/>
        <v>64.52428571428571</v>
      </c>
      <c r="CH34" s="2">
        <f t="shared" si="1"/>
        <v>22.288</v>
      </c>
      <c r="CI34" s="2">
        <f t="shared" si="1"/>
        <v>13.053750000000001</v>
      </c>
      <c r="CJ34" s="2">
        <f t="shared" si="1"/>
        <v>48.628333333333337</v>
      </c>
      <c r="CK34" s="2">
        <f t="shared" si="1"/>
        <v>7.3071428571428569</v>
      </c>
      <c r="CL34" s="2">
        <f t="shared" si="1"/>
        <v>110.75</v>
      </c>
      <c r="CM34" s="2">
        <f t="shared" si="1"/>
        <v>43.744285714285716</v>
      </c>
      <c r="CN34" s="2">
        <f t="shared" si="1"/>
        <v>12.656000000000001</v>
      </c>
      <c r="CO34" s="12">
        <f t="shared" si="1"/>
        <v>112.38285714285715</v>
      </c>
      <c r="CP34" s="2">
        <f t="shared" si="1"/>
        <v>55.358333333333327</v>
      </c>
      <c r="CQ34" s="2">
        <f t="shared" si="1"/>
        <v>30.171999999999997</v>
      </c>
      <c r="CR34" s="2">
        <f t="shared" si="1"/>
        <v>78.395714285714277</v>
      </c>
      <c r="CS34" s="2">
        <f t="shared" si="1"/>
        <v>12.465999999999999</v>
      </c>
      <c r="CT34" s="2">
        <f t="shared" si="1"/>
        <v>32.095714285714287</v>
      </c>
      <c r="CU34" s="2">
        <f t="shared" si="1"/>
        <v>85.368571428571414</v>
      </c>
      <c r="CV34" s="2">
        <f t="shared" si="1"/>
        <v>149.76166666666666</v>
      </c>
      <c r="CW34" s="2">
        <f t="shared" si="1"/>
        <v>114.13</v>
      </c>
      <c r="CX34" s="2">
        <f t="shared" si="1"/>
        <v>22.3</v>
      </c>
      <c r="CY34" s="2">
        <f t="shared" si="1"/>
        <v>76.696666666666673</v>
      </c>
      <c r="CZ34" s="12">
        <f t="shared" si="1"/>
        <v>163.37333333333333</v>
      </c>
      <c r="DA34" s="12">
        <f t="shared" si="1"/>
        <v>108.52166666666665</v>
      </c>
      <c r="DB34" s="12">
        <f t="shared" si="1"/>
        <v>139.85333333333332</v>
      </c>
      <c r="DC34" s="2">
        <f t="shared" si="1"/>
        <v>42.697500000000005</v>
      </c>
      <c r="DD34" s="2">
        <f t="shared" si="1"/>
        <v>30.189999999999998</v>
      </c>
      <c r="DE34" s="2">
        <f t="shared" si="1"/>
        <v>58.587499999999999</v>
      </c>
      <c r="DF34" s="2">
        <f t="shared" si="1"/>
        <v>33</v>
      </c>
      <c r="DG34" s="2">
        <f t="shared" si="1"/>
        <v>85.993333333333339</v>
      </c>
      <c r="DH34" s="2">
        <f t="shared" si="1"/>
        <v>50.68</v>
      </c>
      <c r="DI34" s="2">
        <f t="shared" si="1"/>
        <v>36.270000000000003</v>
      </c>
      <c r="DJ34" s="2">
        <f t="shared" si="1"/>
        <v>31.605</v>
      </c>
      <c r="DK34" s="2">
        <f t="shared" si="1"/>
        <v>21.01</v>
      </c>
      <c r="DL34" s="2">
        <f t="shared" si="1"/>
        <v>38.5</v>
      </c>
      <c r="DM34" s="2">
        <f t="shared" si="1"/>
        <v>37.299999999999997</v>
      </c>
      <c r="DN34" s="2">
        <f t="shared" si="1"/>
        <v>43.16</v>
      </c>
      <c r="DO34" s="2">
        <f t="shared" si="1"/>
        <v>30.78</v>
      </c>
      <c r="DP34" s="2">
        <f t="shared" si="1"/>
        <v>46.75</v>
      </c>
      <c r="DQ34" s="2">
        <f t="shared" si="1"/>
        <v>17</v>
      </c>
      <c r="DR34" s="2">
        <f t="shared" si="1"/>
        <v>43.3</v>
      </c>
    </row>
    <row r="35" spans="1:122">
      <c r="A35" s="5">
        <v>38427</v>
      </c>
      <c r="B35" s="4">
        <v>-10.412027327922599</v>
      </c>
    </row>
    <row r="36" spans="1:122">
      <c r="A36" s="5">
        <v>38458</v>
      </c>
      <c r="B36" s="4">
        <v>-11.724331241679799</v>
      </c>
    </row>
    <row r="37" spans="1:122">
      <c r="A37" s="5">
        <v>38488</v>
      </c>
      <c r="B37" s="4">
        <v>-19.1976582525498</v>
      </c>
    </row>
    <row r="38" spans="1:122">
      <c r="A38" s="5">
        <v>38519</v>
      </c>
      <c r="B38" s="4">
        <v>-19.288237743658499</v>
      </c>
    </row>
    <row r="39" spans="1:122">
      <c r="A39" s="5">
        <v>38549</v>
      </c>
      <c r="B39" s="4">
        <v>-1.53984442504265</v>
      </c>
      <c r="E39" s="10" t="s">
        <v>621</v>
      </c>
      <c r="F39" s="2">
        <f>AVERAGE(F8:F36)</f>
        <v>61.695476190476192</v>
      </c>
      <c r="G39" s="2">
        <f>AVERAGE(G8:G36)</f>
        <v>77.889583333333334</v>
      </c>
      <c r="H39" s="2">
        <f t="shared" ref="H39:BS39" si="2">AVERAGE(H8:H36)</f>
        <v>73.123199999999997</v>
      </c>
      <c r="I39" s="14">
        <f t="shared" si="2"/>
        <v>207.32466666666664</v>
      </c>
      <c r="J39" s="14">
        <f t="shared" si="2"/>
        <v>203.93228571428571</v>
      </c>
      <c r="K39" s="2">
        <f t="shared" si="2"/>
        <v>63.78</v>
      </c>
      <c r="L39" s="2">
        <f t="shared" si="2"/>
        <v>78.20708333333333</v>
      </c>
      <c r="M39" s="2">
        <f t="shared" si="2"/>
        <v>60.767499999999998</v>
      </c>
      <c r="N39" s="2">
        <f t="shared" si="2"/>
        <v>77.709999999999994</v>
      </c>
      <c r="O39" s="2">
        <f t="shared" si="2"/>
        <v>74.316666666666663</v>
      </c>
      <c r="P39" s="2">
        <f t="shared" si="2"/>
        <v>29.199000000000002</v>
      </c>
      <c r="Q39" s="2">
        <f t="shared" si="2"/>
        <v>53.68</v>
      </c>
      <c r="R39" s="2">
        <f t="shared" si="2"/>
        <v>47.838750000000005</v>
      </c>
      <c r="S39" s="2">
        <f t="shared" si="2"/>
        <v>46.955000000000005</v>
      </c>
      <c r="T39" s="2">
        <f t="shared" si="2"/>
        <v>21.257999999999999</v>
      </c>
      <c r="U39" s="2">
        <f t="shared" si="2"/>
        <v>14.997500000000002</v>
      </c>
      <c r="V39" s="2">
        <f t="shared" si="2"/>
        <v>12.08</v>
      </c>
      <c r="W39" s="2">
        <f t="shared" si="2"/>
        <v>15.542708333333335</v>
      </c>
      <c r="X39" s="2">
        <f t="shared" si="2"/>
        <v>21.8</v>
      </c>
      <c r="Y39" s="2">
        <f t="shared" si="2"/>
        <v>15.967500000000001</v>
      </c>
      <c r="Z39" s="2">
        <f t="shared" si="2"/>
        <v>54.943750000000001</v>
      </c>
      <c r="AA39" s="2">
        <f t="shared" si="2"/>
        <v>62.6</v>
      </c>
      <c r="AB39" s="2">
        <f t="shared" si="2"/>
        <v>65.91</v>
      </c>
      <c r="AC39" s="2">
        <f t="shared" si="2"/>
        <v>15.226875000000001</v>
      </c>
      <c r="AD39" s="2">
        <f t="shared" si="2"/>
        <v>28.670999999999999</v>
      </c>
      <c r="AE39" s="2">
        <f t="shared" si="2"/>
        <v>17.021428571428569</v>
      </c>
      <c r="AF39" s="2">
        <f t="shared" si="2"/>
        <v>27.598499999999998</v>
      </c>
      <c r="AG39" s="2">
        <f t="shared" si="2"/>
        <v>34.36</v>
      </c>
      <c r="AH39" s="2">
        <f t="shared" si="2"/>
        <v>6.9919047619047623</v>
      </c>
      <c r="AI39" s="2">
        <f t="shared" si="2"/>
        <v>8.3372916666666672</v>
      </c>
      <c r="AJ39" s="2">
        <f t="shared" si="2"/>
        <v>8.2637142857142862</v>
      </c>
      <c r="AK39" s="2">
        <f t="shared" si="2"/>
        <v>3.2279166666666668</v>
      </c>
      <c r="AL39" s="2">
        <f t="shared" si="2"/>
        <v>10.142285714285714</v>
      </c>
      <c r="AM39" s="2">
        <f t="shared" si="2"/>
        <v>12.73</v>
      </c>
      <c r="AN39" s="2">
        <f t="shared" si="2"/>
        <v>25.84041666666667</v>
      </c>
      <c r="AO39" s="2">
        <f t="shared" si="2"/>
        <v>13.824999999999998</v>
      </c>
      <c r="AP39" s="2">
        <f t="shared" si="2"/>
        <v>11.41</v>
      </c>
      <c r="AQ39" s="2">
        <f t="shared" si="2"/>
        <v>27.314791666666665</v>
      </c>
      <c r="AR39" s="2">
        <f t="shared" si="2"/>
        <v>5.9861111111111107</v>
      </c>
      <c r="AS39" s="2">
        <f t="shared" si="2"/>
        <v>12.484799999999998</v>
      </c>
      <c r="AT39" s="2">
        <f t="shared" si="2"/>
        <v>10.685714285714287</v>
      </c>
      <c r="AU39" s="2">
        <f t="shared" si="2"/>
        <v>2.34</v>
      </c>
      <c r="AV39" s="12">
        <f t="shared" si="2"/>
        <v>101.31125</v>
      </c>
      <c r="AW39" s="2">
        <f t="shared" si="2"/>
        <v>7.4502857142857151</v>
      </c>
      <c r="AX39" s="2">
        <f t="shared" si="2"/>
        <v>53.661999999999999</v>
      </c>
      <c r="AY39" s="2">
        <f t="shared" si="2"/>
        <v>79.068095238095239</v>
      </c>
      <c r="AZ39" s="2">
        <f t="shared" si="2"/>
        <v>3.511714285714286</v>
      </c>
      <c r="BA39" s="2">
        <f t="shared" si="2"/>
        <v>40.04485714285714</v>
      </c>
      <c r="BB39" s="2">
        <f t="shared" si="2"/>
        <v>43.851249999999993</v>
      </c>
      <c r="BC39" s="2">
        <f t="shared" si="2"/>
        <v>14.591428571428571</v>
      </c>
      <c r="BD39" s="2">
        <f t="shared" si="2"/>
        <v>25.4</v>
      </c>
      <c r="BE39" s="2">
        <f t="shared" si="2"/>
        <v>31.49625</v>
      </c>
      <c r="BF39" s="2">
        <f t="shared" si="2"/>
        <v>0.25</v>
      </c>
      <c r="BG39" s="2">
        <f t="shared" si="2"/>
        <v>57.424166666666672</v>
      </c>
      <c r="BH39" s="2">
        <f t="shared" si="2"/>
        <v>58.556249999999999</v>
      </c>
      <c r="BI39" s="2">
        <f t="shared" si="2"/>
        <v>57.267499999999991</v>
      </c>
      <c r="BJ39" s="2">
        <f t="shared" si="2"/>
        <v>47.305833333333339</v>
      </c>
      <c r="BK39" s="2">
        <f t="shared" si="2"/>
        <v>1.6993333333333331</v>
      </c>
      <c r="BL39" s="2">
        <f t="shared" si="2"/>
        <v>61.094999999999999</v>
      </c>
      <c r="BM39" s="2">
        <f t="shared" si="2"/>
        <v>5.1349999999999998</v>
      </c>
      <c r="BN39" s="12">
        <f t="shared" si="2"/>
        <v>108.80533333333334</v>
      </c>
      <c r="BO39" s="2">
        <f t="shared" si="2"/>
        <v>1.7991666666666668</v>
      </c>
      <c r="BP39" s="2">
        <f t="shared" si="2"/>
        <v>17.388958333333331</v>
      </c>
      <c r="BQ39" s="2">
        <f t="shared" si="2"/>
        <v>8.3516666666666666</v>
      </c>
      <c r="BR39" s="2">
        <f t="shared" si="2"/>
        <v>6.7273333333333341</v>
      </c>
      <c r="BS39" s="2">
        <f t="shared" si="2"/>
        <v>99.28</v>
      </c>
      <c r="BT39" s="2">
        <f t="shared" ref="BT39:DR39" si="3">AVERAGE(BT8:BT36)</f>
        <v>44.033333333333331</v>
      </c>
      <c r="BU39" s="2">
        <f t="shared" si="3"/>
        <v>1.9367999999999999</v>
      </c>
      <c r="BV39" s="2">
        <f t="shared" si="3"/>
        <v>20.751904761904761</v>
      </c>
      <c r="BW39" s="2">
        <f t="shared" si="3"/>
        <v>39.139047619047624</v>
      </c>
      <c r="BX39" s="2">
        <f t="shared" si="3"/>
        <v>5.0066666666666668</v>
      </c>
      <c r="BY39" s="2">
        <f t="shared" si="3"/>
        <v>12.686666666666666</v>
      </c>
      <c r="BZ39" s="2">
        <f t="shared" si="3"/>
        <v>2.4943749999999998</v>
      </c>
      <c r="CA39" s="2">
        <f t="shared" si="3"/>
        <v>42.436041666666661</v>
      </c>
      <c r="CB39" s="2">
        <f t="shared" si="3"/>
        <v>20.055555555555554</v>
      </c>
      <c r="CC39" s="2">
        <f t="shared" si="3"/>
        <v>101.32499999999999</v>
      </c>
      <c r="CD39" s="2">
        <f t="shared" si="3"/>
        <v>47.22</v>
      </c>
      <c r="CE39" s="12">
        <f t="shared" si="3"/>
        <v>115.006</v>
      </c>
      <c r="CF39" s="2">
        <f t="shared" si="3"/>
        <v>1.7729166666666667</v>
      </c>
      <c r="CG39" s="2">
        <f t="shared" si="3"/>
        <v>64.722380952380959</v>
      </c>
      <c r="CH39" s="2">
        <f t="shared" si="3"/>
        <v>24.081999999999997</v>
      </c>
      <c r="CI39" s="2">
        <f t="shared" si="3"/>
        <v>15.020625000000001</v>
      </c>
      <c r="CJ39" s="2">
        <f t="shared" si="3"/>
        <v>49.619666666666674</v>
      </c>
      <c r="CK39" s="2">
        <f t="shared" si="3"/>
        <v>8.1034285714285712</v>
      </c>
      <c r="CL39" s="2">
        <f t="shared" si="3"/>
        <v>113.31333333333333</v>
      </c>
      <c r="CM39" s="2">
        <f t="shared" si="3"/>
        <v>40.717380952380957</v>
      </c>
      <c r="CN39" s="2">
        <f t="shared" si="3"/>
        <v>12.773199999999999</v>
      </c>
      <c r="CO39" s="12">
        <f t="shared" si="3"/>
        <v>114.80657142857142</v>
      </c>
      <c r="CP39" s="2">
        <f t="shared" si="3"/>
        <v>56.90958333333333</v>
      </c>
      <c r="CQ39" s="2">
        <f t="shared" si="3"/>
        <v>30.4405</v>
      </c>
      <c r="CR39" s="2">
        <f t="shared" si="3"/>
        <v>80.285142857142858</v>
      </c>
      <c r="CS39" s="2">
        <f t="shared" si="3"/>
        <v>12.8965</v>
      </c>
      <c r="CT39" s="2">
        <f t="shared" si="3"/>
        <v>34.173142857142849</v>
      </c>
      <c r="CU39" s="2">
        <f t="shared" si="3"/>
        <v>87.721428571428575</v>
      </c>
      <c r="CV39" s="2">
        <f t="shared" si="3"/>
        <v>151.13233333333332</v>
      </c>
      <c r="CW39" s="2">
        <f t="shared" si="3"/>
        <v>117.69333333333333</v>
      </c>
      <c r="CX39" s="2">
        <f t="shared" si="3"/>
        <v>22.3</v>
      </c>
      <c r="CY39" s="2">
        <f t="shared" si="3"/>
        <v>80.448333333333338</v>
      </c>
      <c r="CZ39" s="12">
        <f t="shared" si="3"/>
        <v>164.72066666666666</v>
      </c>
      <c r="DA39" s="12">
        <f t="shared" si="3"/>
        <v>107.55033333333333</v>
      </c>
      <c r="DB39" s="12">
        <f t="shared" si="3"/>
        <v>143.13777777777776</v>
      </c>
      <c r="DC39" s="2">
        <f t="shared" si="3"/>
        <v>42.786874999999995</v>
      </c>
      <c r="DD39" s="2">
        <f t="shared" si="3"/>
        <v>31.554999999999996</v>
      </c>
      <c r="DE39" s="2">
        <f t="shared" si="3"/>
        <v>59.351875</v>
      </c>
      <c r="DF39" s="2">
        <f t="shared" si="3"/>
        <v>33</v>
      </c>
      <c r="DG39" s="2">
        <f t="shared" si="3"/>
        <v>84.657777777777781</v>
      </c>
      <c r="DH39" s="2">
        <f t="shared" si="3"/>
        <v>50.68</v>
      </c>
      <c r="DI39" s="2">
        <f t="shared" si="3"/>
        <v>36.270000000000003</v>
      </c>
      <c r="DJ39" s="2">
        <f t="shared" si="3"/>
        <v>31.605</v>
      </c>
      <c r="DK39" s="2">
        <f t="shared" si="3"/>
        <v>21.01</v>
      </c>
      <c r="DL39" s="2">
        <f t="shared" si="3"/>
        <v>38.5</v>
      </c>
      <c r="DM39" s="2">
        <f t="shared" si="3"/>
        <v>37.299999999999997</v>
      </c>
      <c r="DN39" s="2">
        <f t="shared" si="3"/>
        <v>43.16</v>
      </c>
      <c r="DO39" s="2">
        <f t="shared" si="3"/>
        <v>33.67</v>
      </c>
      <c r="DP39" s="2">
        <f t="shared" si="3"/>
        <v>47.625</v>
      </c>
      <c r="DQ39" s="2">
        <f t="shared" si="3"/>
        <v>17</v>
      </c>
      <c r="DR39" s="2">
        <f t="shared" si="3"/>
        <v>43.3</v>
      </c>
    </row>
    <row r="40" spans="1:122">
      <c r="A40" s="5">
        <v>38580</v>
      </c>
      <c r="B40" s="4">
        <v>6.4523865476981399</v>
      </c>
    </row>
    <row r="41" spans="1:122">
      <c r="A41" s="5">
        <v>38611</v>
      </c>
      <c r="B41" s="4">
        <v>13.8431722702258</v>
      </c>
    </row>
    <row r="42" spans="1:122" ht="19" customHeight="1">
      <c r="A42" s="5">
        <v>38641</v>
      </c>
      <c r="B42" s="4">
        <v>17.243346338512801</v>
      </c>
    </row>
    <row r="43" spans="1:122">
      <c r="A43" s="5">
        <v>38672</v>
      </c>
      <c r="B43" s="4">
        <v>10.6707625010781</v>
      </c>
    </row>
    <row r="44" spans="1:122">
      <c r="A44" s="5">
        <v>38702</v>
      </c>
      <c r="B44" s="4">
        <v>3.3589345808173201</v>
      </c>
    </row>
    <row r="45" spans="1:122">
      <c r="A45" s="5">
        <v>38733</v>
      </c>
      <c r="B45" s="4">
        <v>-4.6996428664974097</v>
      </c>
    </row>
    <row r="46" spans="1:122">
      <c r="A46" s="5">
        <v>38763</v>
      </c>
      <c r="B46" s="4">
        <v>-10.346920228210699</v>
      </c>
    </row>
    <row r="47" spans="1:122">
      <c r="A47" s="5">
        <v>38792</v>
      </c>
      <c r="B47" s="4">
        <v>-11.9867257090485</v>
      </c>
    </row>
    <row r="48" spans="1:122">
      <c r="A48" s="5">
        <v>38823</v>
      </c>
      <c r="B48" s="4">
        <v>-17.538450280783199</v>
      </c>
    </row>
    <row r="49" spans="1:2">
      <c r="A49" s="5">
        <v>38853</v>
      </c>
      <c r="B49" s="4">
        <v>-17.958793920112299</v>
      </c>
    </row>
    <row r="50" spans="1:2">
      <c r="A50" s="5">
        <v>38884</v>
      </c>
      <c r="B50" s="4">
        <v>-12.6345806705034</v>
      </c>
    </row>
    <row r="51" spans="1:2">
      <c r="A51" s="5">
        <v>38914</v>
      </c>
      <c r="B51" s="4">
        <v>-2.7370351395770198</v>
      </c>
    </row>
    <row r="52" spans="1:2">
      <c r="A52" s="5">
        <v>38945</v>
      </c>
      <c r="B52" s="4">
        <v>8.1890544280209294</v>
      </c>
    </row>
    <row r="53" spans="1:2">
      <c r="A53" s="5">
        <v>38976</v>
      </c>
      <c r="B53" s="4">
        <v>11.098466565253601</v>
      </c>
    </row>
    <row r="54" spans="1:2">
      <c r="A54" s="5">
        <v>39006</v>
      </c>
      <c r="B54" s="4">
        <v>15.8707243161075</v>
      </c>
    </row>
    <row r="55" spans="1:2">
      <c r="A55" s="5">
        <v>39037</v>
      </c>
      <c r="B55" s="4">
        <v>16.660304346474302</v>
      </c>
    </row>
    <row r="56" spans="1:2">
      <c r="A56" s="5">
        <v>39067</v>
      </c>
      <c r="B56" s="4">
        <v>13.7368263000421</v>
      </c>
    </row>
    <row r="57" spans="1:2">
      <c r="A57" s="5">
        <v>39098</v>
      </c>
      <c r="B57" s="4">
        <v>6.8731892200917599</v>
      </c>
    </row>
    <row r="58" spans="1:2">
      <c r="A58" s="5">
        <v>39128</v>
      </c>
      <c r="B58" s="4">
        <v>-2.1429225347205301</v>
      </c>
    </row>
    <row r="59" spans="1:2">
      <c r="A59" s="5">
        <v>39157</v>
      </c>
      <c r="B59" s="4">
        <v>-6.5094018304921004</v>
      </c>
    </row>
    <row r="60" spans="1:2">
      <c r="A60" s="5">
        <v>39188</v>
      </c>
      <c r="B60" s="4">
        <v>-13.2875953396982</v>
      </c>
    </row>
    <row r="61" spans="1:2">
      <c r="A61" s="5">
        <v>39218</v>
      </c>
      <c r="B61" s="4">
        <v>-14.759399399740101</v>
      </c>
    </row>
    <row r="62" spans="1:2">
      <c r="A62" s="5">
        <v>39249</v>
      </c>
      <c r="B62" s="4">
        <v>-12.391791953352699</v>
      </c>
    </row>
    <row r="63" spans="1:2">
      <c r="A63" s="5">
        <v>39279</v>
      </c>
      <c r="B63" s="4">
        <v>-6.2690367555446196</v>
      </c>
    </row>
    <row r="64" spans="1:2">
      <c r="A64" s="5">
        <v>39310</v>
      </c>
      <c r="B64" s="4">
        <v>0.400401051275872</v>
      </c>
    </row>
    <row r="65" spans="1:2">
      <c r="A65" s="5">
        <v>39341</v>
      </c>
      <c r="B65" s="4">
        <v>18.305674963983201</v>
      </c>
    </row>
    <row r="66" spans="1:2">
      <c r="A66" s="5">
        <v>39371</v>
      </c>
      <c r="B66" s="4">
        <v>19.696853007542401</v>
      </c>
    </row>
    <row r="67" spans="1:2">
      <c r="A67" s="5">
        <v>39402</v>
      </c>
      <c r="B67" s="4">
        <v>10.723504606055499</v>
      </c>
    </row>
    <row r="68" spans="1:2">
      <c r="A68" s="5">
        <v>39432</v>
      </c>
      <c r="B68" s="4">
        <v>4.7423318728138399</v>
      </c>
    </row>
    <row r="69" spans="1:2">
      <c r="A69" s="5">
        <v>39463</v>
      </c>
      <c r="B69" s="4">
        <v>1.8505284616290301</v>
      </c>
    </row>
    <row r="70" spans="1:2">
      <c r="A70" s="5">
        <v>39493</v>
      </c>
      <c r="B70" s="4">
        <v>-7.0347588757253501</v>
      </c>
    </row>
    <row r="71" spans="1:2">
      <c r="A71" s="5">
        <v>39523</v>
      </c>
      <c r="B71" s="4">
        <v>-11.221964702588901</v>
      </c>
    </row>
    <row r="72" spans="1:2">
      <c r="A72" s="5">
        <v>39554</v>
      </c>
      <c r="B72" s="4">
        <v>-17.9089796269513</v>
      </c>
    </row>
    <row r="73" spans="1:2">
      <c r="A73" s="5">
        <v>39584</v>
      </c>
      <c r="B73" s="4">
        <v>-19.034546325562001</v>
      </c>
    </row>
    <row r="74" spans="1:2">
      <c r="A74" s="5">
        <v>39615</v>
      </c>
      <c r="B74" s="4">
        <v>-12.9169521281696</v>
      </c>
    </row>
    <row r="75" spans="1:2">
      <c r="A75" s="5">
        <v>39645</v>
      </c>
      <c r="B75" s="4">
        <v>6.5371237251707104</v>
      </c>
    </row>
    <row r="76" spans="1:2">
      <c r="A76" s="5">
        <v>39676</v>
      </c>
      <c r="B76" s="4">
        <v>9.8542658634283296</v>
      </c>
    </row>
    <row r="77" spans="1:2">
      <c r="A77" s="5">
        <v>39707</v>
      </c>
      <c r="B77" s="4">
        <v>17.9735650526159</v>
      </c>
    </row>
    <row r="78" spans="1:2">
      <c r="A78" s="5">
        <v>39737</v>
      </c>
      <c r="B78" s="4">
        <v>22.860814667659302</v>
      </c>
    </row>
    <row r="79" spans="1:2">
      <c r="A79" s="5">
        <v>39768</v>
      </c>
      <c r="B79" s="4">
        <v>13.511168591099301</v>
      </c>
    </row>
    <row r="80" spans="1:2">
      <c r="A80" s="5">
        <v>39798</v>
      </c>
      <c r="B80" s="4">
        <v>4.06905048305957</v>
      </c>
    </row>
    <row r="81" spans="1:2">
      <c r="A81" s="5">
        <v>39829</v>
      </c>
      <c r="B81" s="4">
        <v>0.49166406772888399</v>
      </c>
    </row>
    <row r="82" spans="1:2">
      <c r="A82" s="5">
        <v>39859</v>
      </c>
      <c r="B82" s="4">
        <v>-3.6445049863509098</v>
      </c>
    </row>
    <row r="83" spans="1:2">
      <c r="A83" s="5">
        <v>39888</v>
      </c>
      <c r="B83" s="4">
        <v>-10.9961584085799</v>
      </c>
    </row>
    <row r="84" spans="1:2">
      <c r="A84" s="5">
        <v>39919</v>
      </c>
      <c r="B84" s="4">
        <v>-14.6269091392136</v>
      </c>
    </row>
    <row r="85" spans="1:2">
      <c r="A85" s="5">
        <v>39949</v>
      </c>
      <c r="B85" s="4">
        <v>-17.4358210569448</v>
      </c>
    </row>
    <row r="86" spans="1:2">
      <c r="A86" s="5">
        <v>39980</v>
      </c>
      <c r="B86" s="4">
        <v>-11.1352126455134</v>
      </c>
    </row>
    <row r="87" spans="1:2">
      <c r="A87" s="5">
        <v>40010</v>
      </c>
      <c r="B87" s="4">
        <v>-4.0203102581403396</v>
      </c>
    </row>
    <row r="88" spans="1:2">
      <c r="A88" s="5">
        <v>40041</v>
      </c>
      <c r="B88" s="4">
        <v>-5.2464659694782698</v>
      </c>
    </row>
    <row r="89" spans="1:2">
      <c r="A89" s="5">
        <v>40072</v>
      </c>
      <c r="B89" s="4">
        <v>5.2394456077632201</v>
      </c>
    </row>
    <row r="90" spans="1:2">
      <c r="A90" s="5">
        <v>40102</v>
      </c>
      <c r="B90" s="4">
        <v>12.510355286652601</v>
      </c>
    </row>
    <row r="91" spans="1:2">
      <c r="A91" s="5">
        <v>40133</v>
      </c>
      <c r="B91" s="4">
        <v>7.5883758593150104</v>
      </c>
    </row>
    <row r="92" spans="1:2">
      <c r="A92" s="5">
        <v>40163</v>
      </c>
      <c r="B92" s="4">
        <v>3.7462819012612698</v>
      </c>
    </row>
    <row r="93" spans="1:2">
      <c r="A93" s="5">
        <v>40194</v>
      </c>
      <c r="B93" s="4">
        <v>-1.3749033567696101</v>
      </c>
    </row>
    <row r="94" spans="1:2">
      <c r="A94" s="5">
        <v>40224</v>
      </c>
      <c r="B94" s="4">
        <v>4.3015209565669901</v>
      </c>
    </row>
    <row r="95" spans="1:2">
      <c r="A95" s="5">
        <v>40253</v>
      </c>
      <c r="B95" s="4">
        <v>-4.2620934426344598E-2</v>
      </c>
    </row>
    <row r="96" spans="1:2">
      <c r="A96" s="5">
        <v>40284</v>
      </c>
      <c r="B96" s="4">
        <v>-6.03011345548697</v>
      </c>
    </row>
    <row r="97" spans="1:2">
      <c r="A97" s="5">
        <v>40314</v>
      </c>
      <c r="B97" s="4">
        <v>-16.661020959374898</v>
      </c>
    </row>
    <row r="98" spans="1:2">
      <c r="A98" s="5">
        <v>40345</v>
      </c>
      <c r="B98" s="4">
        <v>-13.309627799896001</v>
      </c>
    </row>
    <row r="99" spans="1:2">
      <c r="A99" s="5">
        <v>40375</v>
      </c>
      <c r="B99" s="4">
        <v>0.156031950263746</v>
      </c>
    </row>
    <row r="100" spans="1:2">
      <c r="A100" s="5">
        <v>40406</v>
      </c>
      <c r="B100" s="4">
        <v>18.730560877712801</v>
      </c>
    </row>
    <row r="101" spans="1:2">
      <c r="A101" s="5">
        <v>40437</v>
      </c>
      <c r="B101" s="4">
        <v>30.324440787898801</v>
      </c>
    </row>
    <row r="102" spans="1:2">
      <c r="A102" s="5">
        <v>40467</v>
      </c>
      <c r="B102" s="4">
        <v>24.909859951006599</v>
      </c>
    </row>
    <row r="103" spans="1:2">
      <c r="A103" s="5">
        <v>40498</v>
      </c>
      <c r="B103" s="4">
        <v>13.680993710997001</v>
      </c>
    </row>
    <row r="104" spans="1:2">
      <c r="A104" s="5">
        <v>40526</v>
      </c>
      <c r="B104" s="4">
        <v>8.5577950844340602</v>
      </c>
    </row>
    <row r="105" spans="1:2">
      <c r="A105" s="5">
        <v>40592</v>
      </c>
      <c r="B105" s="4">
        <v>-3.68393173033513</v>
      </c>
    </row>
    <row r="106" spans="1:2">
      <c r="A106" s="5">
        <v>40618</v>
      </c>
      <c r="B106" s="4">
        <v>-8.8371090354598394</v>
      </c>
    </row>
    <row r="107" spans="1:2">
      <c r="A107" s="5">
        <v>40649</v>
      </c>
      <c r="B107" s="4">
        <v>-13.7864056291259</v>
      </c>
    </row>
    <row r="108" spans="1:2">
      <c r="A108" s="5">
        <v>40679</v>
      </c>
      <c r="B108" s="4">
        <v>-16.777421726492701</v>
      </c>
    </row>
    <row r="109" spans="1:2">
      <c r="A109" s="5">
        <v>40742</v>
      </c>
      <c r="B109" s="4">
        <v>11.1554859172352</v>
      </c>
    </row>
    <row r="110" spans="1:2">
      <c r="A110" s="5">
        <v>40771</v>
      </c>
      <c r="B110" s="4">
        <v>15.517464860694901</v>
      </c>
    </row>
    <row r="111" spans="1:2">
      <c r="A111" s="5">
        <v>40802</v>
      </c>
      <c r="B111" s="4">
        <v>21.2161672519319</v>
      </c>
    </row>
    <row r="112" spans="1:2">
      <c r="A112" s="5">
        <v>40832</v>
      </c>
      <c r="B112" s="4">
        <v>21.0419872211091</v>
      </c>
    </row>
    <row r="113" spans="1:2">
      <c r="A113" s="5">
        <v>40848</v>
      </c>
      <c r="B113" s="4">
        <v>17.971421615573</v>
      </c>
    </row>
    <row r="114" spans="1:2">
      <c r="A114" s="5">
        <v>40909</v>
      </c>
      <c r="B114" s="4">
        <v>5.2280223645534996</v>
      </c>
    </row>
    <row r="115" spans="1:2">
      <c r="A115" s="5">
        <v>40924</v>
      </c>
      <c r="B115" s="4">
        <v>2.14636482185192</v>
      </c>
    </row>
    <row r="116" spans="1:2">
      <c r="A116" s="5">
        <v>40954</v>
      </c>
      <c r="B116" s="4">
        <v>-3.2019408621094398</v>
      </c>
    </row>
    <row r="117" spans="1:2">
      <c r="A117" s="5">
        <v>40984</v>
      </c>
      <c r="B117" s="4">
        <v>-10.742952606288201</v>
      </c>
    </row>
    <row r="118" spans="1:2">
      <c r="A118" s="5">
        <v>41003</v>
      </c>
      <c r="B118" s="4">
        <v>-12.0897101486302</v>
      </c>
    </row>
    <row r="119" spans="1:2">
      <c r="A119" s="5">
        <v>41076</v>
      </c>
      <c r="B119" s="4">
        <v>-10.6558208508617</v>
      </c>
    </row>
    <row r="120" spans="1:2">
      <c r="A120" s="5">
        <v>41106</v>
      </c>
      <c r="B120" s="4">
        <v>2.5380692138747198</v>
      </c>
    </row>
    <row r="121" spans="1:2">
      <c r="A121" s="5">
        <v>41137</v>
      </c>
      <c r="B121" s="4">
        <v>14.280266597288101</v>
      </c>
    </row>
    <row r="122" spans="1:2">
      <c r="A122" s="5">
        <v>41165</v>
      </c>
      <c r="B122" s="4">
        <v>14.6212411833726</v>
      </c>
    </row>
    <row r="123" spans="1:2">
      <c r="A123" s="5">
        <v>41231</v>
      </c>
      <c r="B123" s="4">
        <v>7.9696879274011296</v>
      </c>
    </row>
    <row r="124" spans="1:2">
      <c r="A124" s="5">
        <v>41259</v>
      </c>
      <c r="B124" s="4">
        <v>5.4573275552862004</v>
      </c>
    </row>
    <row r="125" spans="1:2">
      <c r="A125" s="5">
        <v>41290</v>
      </c>
      <c r="B125" s="4">
        <v>-2.56787308083989</v>
      </c>
    </row>
    <row r="126" spans="1:2">
      <c r="A126" s="5">
        <v>41319</v>
      </c>
      <c r="B126" s="4">
        <v>-8.7483933983571092</v>
      </c>
    </row>
    <row r="127" spans="1:2">
      <c r="A127" s="5">
        <v>41385</v>
      </c>
      <c r="B127" s="4">
        <v>-17.919278471378099</v>
      </c>
    </row>
    <row r="128" spans="1:2">
      <c r="A128" s="5">
        <v>41410</v>
      </c>
      <c r="B128" s="4">
        <v>-20.477049060744701</v>
      </c>
    </row>
    <row r="129" spans="1:2">
      <c r="A129" s="5">
        <v>41441</v>
      </c>
      <c r="B129" s="4">
        <v>-14.8890765203363</v>
      </c>
    </row>
    <row r="130" spans="1:2">
      <c r="A130" s="5">
        <v>41471</v>
      </c>
      <c r="B130" s="4">
        <v>-3.0671984568438702</v>
      </c>
    </row>
    <row r="131" spans="1:2">
      <c r="A131" s="5">
        <v>41563</v>
      </c>
      <c r="B131" s="4">
        <v>22.363127219843101</v>
      </c>
    </row>
    <row r="132" spans="1:2">
      <c r="A132" s="5">
        <v>41594</v>
      </c>
      <c r="B132" s="4">
        <v>18.437701073827601</v>
      </c>
    </row>
    <row r="133" spans="1:2">
      <c r="A133" s="5">
        <v>41624</v>
      </c>
      <c r="B133" s="4">
        <v>10.3587925903298</v>
      </c>
    </row>
    <row r="134" spans="1:2">
      <c r="A134" s="5">
        <v>41648</v>
      </c>
      <c r="B134" s="4">
        <v>9.8800372633882496</v>
      </c>
    </row>
    <row r="135" spans="1:2">
      <c r="A135" s="5">
        <v>41714</v>
      </c>
      <c r="B135" s="4">
        <v>-11.9879792245305</v>
      </c>
    </row>
    <row r="136" spans="1:2">
      <c r="A136" s="5">
        <v>41745</v>
      </c>
      <c r="B136" s="4">
        <v>-10.781183787269001</v>
      </c>
    </row>
    <row r="137" spans="1:2">
      <c r="A137" s="5">
        <v>41775</v>
      </c>
      <c r="B137" s="4">
        <v>-12.9983907757527</v>
      </c>
    </row>
    <row r="138" spans="1:2">
      <c r="A138" s="5">
        <v>41803</v>
      </c>
      <c r="B138" s="4">
        <v>-2.7237136779553501</v>
      </c>
    </row>
    <row r="139" spans="1:2">
      <c r="A139" s="5">
        <v>41867</v>
      </c>
      <c r="B139" s="4">
        <v>9.0719473970853404</v>
      </c>
    </row>
    <row r="140" spans="1:2">
      <c r="A140" s="5">
        <v>41898</v>
      </c>
      <c r="B140" s="4">
        <v>16.718441930951901</v>
      </c>
    </row>
    <row r="141" spans="1:2">
      <c r="A141" s="5">
        <v>41928</v>
      </c>
      <c r="B141" s="4">
        <v>20.754624492841199</v>
      </c>
    </row>
    <row r="142" spans="1:2">
      <c r="A142" s="5">
        <v>41960</v>
      </c>
      <c r="B142" s="4">
        <v>14.7765221161567</v>
      </c>
    </row>
    <row r="143" spans="1:2">
      <c r="A143" s="5">
        <v>42026</v>
      </c>
      <c r="B143" s="4">
        <v>3.0287185871889499</v>
      </c>
    </row>
    <row r="144" spans="1:2">
      <c r="A144" s="5">
        <v>42050</v>
      </c>
      <c r="B144" s="4">
        <v>-6.2482347149602404</v>
      </c>
    </row>
    <row r="145" spans="1:2">
      <c r="A145" s="5">
        <v>42079</v>
      </c>
      <c r="B145" s="4">
        <v>-0.76588880980529594</v>
      </c>
    </row>
    <row r="146" spans="1:2">
      <c r="A146" s="5">
        <v>42110</v>
      </c>
      <c r="B146" s="4">
        <v>-10.08912597282</v>
      </c>
    </row>
    <row r="147" spans="1:2">
      <c r="A147" s="5">
        <v>42121</v>
      </c>
      <c r="B147" s="4">
        <v>-13.3027566081113</v>
      </c>
    </row>
    <row r="148" spans="1:2">
      <c r="A148" s="5">
        <v>42200</v>
      </c>
      <c r="B148" s="4">
        <v>0.58182638406611198</v>
      </c>
    </row>
    <row r="149" spans="1:2">
      <c r="A149" s="5">
        <v>42232</v>
      </c>
      <c r="B149" s="4">
        <v>-5.6470148159391496</v>
      </c>
    </row>
    <row r="150" spans="1:2">
      <c r="A150" s="5">
        <v>42261</v>
      </c>
      <c r="B150" s="4">
        <v>1.56952213123764</v>
      </c>
    </row>
    <row r="151" spans="1:2">
      <c r="A151" s="5">
        <v>42361</v>
      </c>
      <c r="B151" s="4">
        <v>6.4629169370778499</v>
      </c>
    </row>
    <row r="152" spans="1:2">
      <c r="A152" s="5">
        <v>42385</v>
      </c>
      <c r="B152" s="4">
        <v>-0.64588293537639796</v>
      </c>
    </row>
    <row r="153" spans="1:2">
      <c r="A153" s="5">
        <v>42414</v>
      </c>
      <c r="B153" s="4">
        <v>-11.3202194260633</v>
      </c>
    </row>
    <row r="154" spans="1:2">
      <c r="A154" s="5">
        <v>42445</v>
      </c>
      <c r="B154" s="4">
        <v>-10.118954869566</v>
      </c>
    </row>
    <row r="155" spans="1:2">
      <c r="A155" s="5">
        <v>42510</v>
      </c>
      <c r="B155" s="4">
        <v>-21.33451508416</v>
      </c>
    </row>
    <row r="156" spans="1:2">
      <c r="A156" s="5">
        <v>42537</v>
      </c>
      <c r="B156" s="4">
        <v>-14.8302487159348</v>
      </c>
    </row>
    <row r="157" spans="1:2">
      <c r="A157" s="5">
        <v>42566</v>
      </c>
      <c r="B157" s="4">
        <v>-7.7696021773121497</v>
      </c>
    </row>
    <row r="158" spans="1:2">
      <c r="A158" s="5">
        <v>42603</v>
      </c>
      <c r="B158" s="4">
        <v>1.6668197710565</v>
      </c>
    </row>
    <row r="159" spans="1:2">
      <c r="A159" s="5">
        <v>42701</v>
      </c>
      <c r="B159" s="4">
        <v>2.3625828861145699</v>
      </c>
    </row>
    <row r="160" spans="1:2">
      <c r="A160" s="5">
        <v>42728</v>
      </c>
      <c r="B160" s="4">
        <v>1.0095034077563001</v>
      </c>
    </row>
    <row r="161" spans="1:2">
      <c r="A161" s="5">
        <v>42756</v>
      </c>
      <c r="B161" s="4">
        <v>-4.4611399486861396</v>
      </c>
    </row>
    <row r="162" spans="1:2">
      <c r="A162" s="5">
        <v>42825</v>
      </c>
      <c r="B162" s="4">
        <v>-14.702708440480301</v>
      </c>
    </row>
    <row r="163" spans="1:2">
      <c r="A163" s="5">
        <v>42849</v>
      </c>
      <c r="B163" s="4">
        <v>-16.457579615173401</v>
      </c>
    </row>
    <row r="164" spans="1:2">
      <c r="A164" s="5">
        <v>42867</v>
      </c>
      <c r="B164" s="4">
        <v>-21.838005371970599</v>
      </c>
    </row>
    <row r="165" spans="1:2">
      <c r="A165" s="5">
        <v>42897</v>
      </c>
      <c r="B165" s="4">
        <v>-21.281045523119602</v>
      </c>
    </row>
    <row r="166" spans="1:2">
      <c r="A166" s="5">
        <v>43267</v>
      </c>
      <c r="B166" s="4">
        <v>-12.0098712636358</v>
      </c>
    </row>
    <row r="167" spans="1:2">
      <c r="A167" s="5">
        <v>43291</v>
      </c>
      <c r="B167" s="4">
        <v>-4.0854123687572104</v>
      </c>
    </row>
    <row r="168" spans="1:2">
      <c r="A168" s="5">
        <v>43404</v>
      </c>
      <c r="B168" s="4">
        <v>11.526530770006</v>
      </c>
    </row>
    <row r="169" spans="1:2">
      <c r="A169" s="5">
        <v>43420</v>
      </c>
      <c r="B169" s="4">
        <v>8.5261188674517605</v>
      </c>
    </row>
    <row r="170" spans="1:2">
      <c r="A170" s="5">
        <v>43450</v>
      </c>
      <c r="B170" s="4">
        <v>3.1598295883773502</v>
      </c>
    </row>
    <row r="171" spans="1:2">
      <c r="A171" s="5">
        <v>43481</v>
      </c>
      <c r="B171" s="4">
        <v>-4.1553839078373498</v>
      </c>
    </row>
    <row r="172" spans="1:2">
      <c r="A172" s="5">
        <v>43510</v>
      </c>
      <c r="B172" s="4">
        <v>-11.6454842468924</v>
      </c>
    </row>
    <row r="173" spans="1:2">
      <c r="A173" s="5">
        <v>43540</v>
      </c>
      <c r="B173" s="4">
        <v>-16.609982153979601</v>
      </c>
    </row>
    <row r="174" spans="1:2">
      <c r="A174" s="5">
        <v>43571</v>
      </c>
      <c r="B174" s="4">
        <v>-21.997021381390699</v>
      </c>
    </row>
    <row r="175" spans="1:2">
      <c r="A175" s="5">
        <v>43601</v>
      </c>
      <c r="B175" s="4">
        <v>-29.279669739884799</v>
      </c>
    </row>
    <row r="176" spans="1:2">
      <c r="A176" s="5">
        <v>43632</v>
      </c>
      <c r="B176" s="4">
        <v>-22.608517118377101</v>
      </c>
    </row>
    <row r="177" spans="1:2">
      <c r="A177" s="5">
        <v>43662</v>
      </c>
      <c r="B177" s="4">
        <v>-15.487204792556801</v>
      </c>
    </row>
    <row r="178" spans="1:2">
      <c r="A178" s="5">
        <v>43693</v>
      </c>
      <c r="B178" s="4">
        <v>-7.66207274479933</v>
      </c>
    </row>
    <row r="179" spans="1:2">
      <c r="A179" s="5">
        <v>43724</v>
      </c>
      <c r="B179" s="4">
        <v>-5.7709262460670701</v>
      </c>
    </row>
    <row r="180" spans="1:2">
      <c r="A180" s="5">
        <v>43754</v>
      </c>
      <c r="B180" s="4">
        <v>2.5468077453002</v>
      </c>
    </row>
    <row r="181" spans="1:2">
      <c r="A181" s="5">
        <v>43785</v>
      </c>
      <c r="B181" s="4">
        <v>4.7412710714884696</v>
      </c>
    </row>
    <row r="182" spans="1:2">
      <c r="A182" s="5">
        <v>43815</v>
      </c>
      <c r="B182" s="4">
        <v>-2.2556136768511701</v>
      </c>
    </row>
    <row r="183" spans="1:2">
      <c r="A183" s="5">
        <v>43846</v>
      </c>
      <c r="B183" s="4">
        <v>-7.3573400570280096</v>
      </c>
    </row>
    <row r="184" spans="1:2">
      <c r="A184" s="5">
        <v>43876</v>
      </c>
      <c r="B184" s="4">
        <v>-12.332899811325101</v>
      </c>
    </row>
    <row r="185" spans="1:2">
      <c r="A185" s="5">
        <v>43906</v>
      </c>
      <c r="B185" s="4">
        <v>-19.623568347302701</v>
      </c>
    </row>
    <row r="186" spans="1:2">
      <c r="A186" s="5">
        <v>43937</v>
      </c>
      <c r="B186" s="4">
        <v>-23.5390050081736</v>
      </c>
    </row>
    <row r="187" spans="1:2">
      <c r="A187" s="5">
        <v>43967</v>
      </c>
      <c r="B187" s="4">
        <v>-28.2044430716163</v>
      </c>
    </row>
    <row r="188" spans="1:2">
      <c r="A188" s="5">
        <v>43998</v>
      </c>
      <c r="B188" s="4">
        <v>-25.473422743958899</v>
      </c>
    </row>
    <row r="189" spans="1:2">
      <c r="A189" s="5">
        <v>44028</v>
      </c>
      <c r="B189" s="4">
        <v>-17.252653815431</v>
      </c>
    </row>
    <row r="190" spans="1:2">
      <c r="A190" s="5">
        <v>44059</v>
      </c>
      <c r="B190" s="4">
        <v>-10.4627416586703</v>
      </c>
    </row>
    <row r="191" spans="1:2">
      <c r="A191" s="5">
        <v>44090</v>
      </c>
      <c r="B191" s="4">
        <v>0.99284132419011695</v>
      </c>
    </row>
    <row r="192" spans="1:2">
      <c r="A192" s="5">
        <v>44120</v>
      </c>
      <c r="B192" s="4">
        <v>0.30042321177057202</v>
      </c>
    </row>
    <row r="193" spans="1:2">
      <c r="A193" s="5">
        <v>44151</v>
      </c>
      <c r="B193" s="4">
        <v>-6.0795754386312497</v>
      </c>
    </row>
    <row r="194" spans="1:2">
      <c r="A194" s="5">
        <v>44181</v>
      </c>
      <c r="B194" s="4">
        <v>-13.013347143886101</v>
      </c>
    </row>
    <row r="195" spans="1:2">
      <c r="A195" s="5">
        <v>44212</v>
      </c>
      <c r="B195" s="4">
        <v>-18.1526861122078</v>
      </c>
    </row>
    <row r="196" spans="1:2">
      <c r="A196" s="5">
        <v>44242</v>
      </c>
      <c r="B196" s="4">
        <v>-25.5092435671217</v>
      </c>
    </row>
    <row r="197" spans="1:2">
      <c r="A197" s="5">
        <v>44271</v>
      </c>
      <c r="B197" s="4">
        <v>-29.854250647706401</v>
      </c>
    </row>
    <row r="198" spans="1:2">
      <c r="A198" s="5">
        <v>44302</v>
      </c>
      <c r="B198" s="4">
        <v>-31.099454768580799</v>
      </c>
    </row>
    <row r="199" spans="1:2">
      <c r="A199" s="5">
        <v>44332</v>
      </c>
      <c r="B199" s="4">
        <v>-32.574813221228801</v>
      </c>
    </row>
    <row r="200" spans="1:2">
      <c r="A200" s="5">
        <v>44363</v>
      </c>
      <c r="B200" s="4">
        <v>-24.090967592430701</v>
      </c>
    </row>
    <row r="201" spans="1:2">
      <c r="A201" s="5">
        <v>44393</v>
      </c>
      <c r="B201" s="4">
        <v>-11.579510791805999</v>
      </c>
    </row>
    <row r="202" spans="1:2">
      <c r="A202" s="5">
        <v>44424</v>
      </c>
      <c r="B202" s="4">
        <v>-5.0465529836914698</v>
      </c>
    </row>
    <row r="203" spans="1:2">
      <c r="A203" s="5">
        <v>44455</v>
      </c>
      <c r="B203" s="4">
        <v>10.657654234560599</v>
      </c>
    </row>
    <row r="204" spans="1:2">
      <c r="A204" s="5">
        <v>44485</v>
      </c>
      <c r="B204" s="4">
        <v>12.052695795314801</v>
      </c>
    </row>
    <row r="205" spans="1:2">
      <c r="A205" s="5">
        <v>44516</v>
      </c>
      <c r="B205" s="4">
        <v>5.1251338372272102</v>
      </c>
    </row>
    <row r="206" spans="1:2">
      <c r="A206" s="5">
        <v>44546</v>
      </c>
      <c r="B206" s="4">
        <v>-3.3215880651227399</v>
      </c>
    </row>
    <row r="207" spans="1:2">
      <c r="A207" s="5">
        <v>44577</v>
      </c>
      <c r="B207" s="4">
        <v>-8.9375071549988601</v>
      </c>
    </row>
    <row r="208" spans="1:2">
      <c r="A208" s="5">
        <v>44607</v>
      </c>
      <c r="B208" s="4">
        <v>-7.8068329008496598</v>
      </c>
    </row>
    <row r="209" spans="1:2">
      <c r="A209" s="5">
        <v>44636</v>
      </c>
      <c r="B209" s="4">
        <v>-15.9157573381639</v>
      </c>
    </row>
    <row r="210" spans="1:2">
      <c r="A210" s="5">
        <v>44667</v>
      </c>
      <c r="B210" s="4">
        <v>-22.404515937549501</v>
      </c>
    </row>
    <row r="211" spans="1:2">
      <c r="A211" s="5">
        <v>44697</v>
      </c>
      <c r="B211" s="4">
        <v>-29.448736724091201</v>
      </c>
    </row>
    <row r="212" spans="1:2">
      <c r="A212" s="5">
        <v>44728</v>
      </c>
      <c r="B212" s="4">
        <v>-21.583279520851999</v>
      </c>
    </row>
    <row r="213" spans="1:2">
      <c r="A213" s="5">
        <v>44758</v>
      </c>
      <c r="B213" s="4">
        <v>-6.9383742787144396</v>
      </c>
    </row>
    <row r="214" spans="1:2">
      <c r="A214" s="5">
        <v>44789</v>
      </c>
      <c r="B214" s="4">
        <v>-3.7258022498539898</v>
      </c>
    </row>
    <row r="215" spans="1:2">
      <c r="A215" s="5">
        <v>44820</v>
      </c>
      <c r="B215" s="4">
        <v>-0.47561526728936199</v>
      </c>
    </row>
    <row r="216" spans="1:2">
      <c r="A216" s="5">
        <v>44850</v>
      </c>
      <c r="B216" s="4">
        <v>2.9800061064338901</v>
      </c>
    </row>
    <row r="217" spans="1:2">
      <c r="A217" s="5">
        <v>44881</v>
      </c>
      <c r="B217" s="4">
        <v>-7.8057981670103196</v>
      </c>
    </row>
    <row r="218" spans="1:2">
      <c r="A218" s="5">
        <v>44911</v>
      </c>
      <c r="B218" s="4">
        <v>-9.6864648075974795</v>
      </c>
    </row>
    <row r="219" spans="1:2">
      <c r="A219" s="5">
        <v>44942</v>
      </c>
      <c r="B219" s="4">
        <v>-15.4111252749539</v>
      </c>
    </row>
    <row r="220" spans="1:2">
      <c r="A220" s="5">
        <v>44972</v>
      </c>
      <c r="B220" s="4">
        <v>-23.079343356770899</v>
      </c>
    </row>
    <row r="221" spans="1:2">
      <c r="A221" s="5">
        <v>45001</v>
      </c>
      <c r="B221" s="4">
        <v>-25.798621148449801</v>
      </c>
    </row>
    <row r="222" spans="1:2">
      <c r="A222" s="5">
        <v>45032</v>
      </c>
      <c r="B222" s="4">
        <v>-29.053236902338899</v>
      </c>
    </row>
    <row r="223" spans="1:2">
      <c r="A223" s="5">
        <v>45062</v>
      </c>
      <c r="B223" s="4">
        <v>-33.733398426902902</v>
      </c>
    </row>
    <row r="224" spans="1:2">
      <c r="A224" s="5">
        <v>45093</v>
      </c>
      <c r="B224" s="4">
        <v>-36.687505301666903</v>
      </c>
    </row>
    <row r="225" spans="1:73">
      <c r="A225" s="5">
        <v>45123</v>
      </c>
      <c r="B225" s="4">
        <v>-31.230511613769</v>
      </c>
    </row>
    <row r="226" spans="1:73">
      <c r="A226" s="5">
        <v>45154</v>
      </c>
      <c r="B226" s="4">
        <v>-22.591610670668501</v>
      </c>
    </row>
    <row r="227" spans="1:73">
      <c r="A227" s="5">
        <v>45185</v>
      </c>
      <c r="B227" s="4">
        <v>-18.892168135029699</v>
      </c>
    </row>
    <row r="228" spans="1:73">
      <c r="A228" s="5">
        <v>45215</v>
      </c>
      <c r="B228" s="4">
        <v>-16.126845814866499</v>
      </c>
    </row>
    <row r="229" spans="1:73">
      <c r="A229" s="5">
        <v>45246</v>
      </c>
      <c r="B229" s="4">
        <v>-16.3153311317987</v>
      </c>
    </row>
    <row r="230" spans="1:73">
      <c r="A230" s="5">
        <v>45276</v>
      </c>
      <c r="B230" s="4">
        <v>-20.864388239217401</v>
      </c>
      <c r="BU230" s="2" t="s">
        <v>617</v>
      </c>
    </row>
    <row r="231" spans="1:73">
      <c r="A231" s="5">
        <v>45307</v>
      </c>
      <c r="B231" s="4">
        <v>-20.333926335555901</v>
      </c>
    </row>
    <row r="232" spans="1:73">
      <c r="A232" s="5">
        <v>45337</v>
      </c>
      <c r="B232" s="4">
        <v>-27.324361015689998</v>
      </c>
    </row>
    <row r="233" spans="1:73">
      <c r="A233" s="5">
        <v>45367</v>
      </c>
      <c r="B233" s="4">
        <v>-34.052667663080101</v>
      </c>
    </row>
    <row r="234" spans="1:73">
      <c r="A234" s="5">
        <v>45398</v>
      </c>
      <c r="B234" s="4">
        <v>-38.789994069022598</v>
      </c>
    </row>
    <row r="235" spans="1:73">
      <c r="A235" s="5">
        <v>45428</v>
      </c>
      <c r="B235" s="4">
        <v>-43.7348783208257</v>
      </c>
    </row>
    <row r="236" spans="1:73">
      <c r="A236" s="5">
        <v>45459</v>
      </c>
      <c r="B236" s="4">
        <v>-42.846295845342297</v>
      </c>
    </row>
    <row r="237" spans="1:73">
      <c r="A237" s="5">
        <v>45489</v>
      </c>
      <c r="B237" s="4">
        <v>-24.5878516031629</v>
      </c>
    </row>
    <row r="238" spans="1:73">
      <c r="A238" s="5">
        <v>45520</v>
      </c>
      <c r="B238" s="4">
        <v>-13.687532824111599</v>
      </c>
    </row>
    <row r="239" spans="1:73">
      <c r="A239" s="5">
        <v>45551</v>
      </c>
      <c r="B239" s="4">
        <v>-6.36267125943818</v>
      </c>
    </row>
    <row r="240" spans="1:73">
      <c r="A240" s="5">
        <v>45581</v>
      </c>
      <c r="B240" s="4">
        <v>4.7659405734189502</v>
      </c>
    </row>
    <row r="241" spans="1:2">
      <c r="A241" s="5">
        <v>45612</v>
      </c>
      <c r="B241" s="4">
        <v>-3.83852700946994</v>
      </c>
    </row>
    <row r="242" spans="1:2">
      <c r="A242" s="5">
        <v>45642</v>
      </c>
      <c r="B242" s="4">
        <v>-11.6179728085375</v>
      </c>
    </row>
  </sheetData>
  <sortState xmlns:xlrd2="http://schemas.microsoft.com/office/spreadsheetml/2017/richdata2" ref="E39:DR39">
    <sortCondition ref="E39"/>
  </sortState>
  <mergeCells count="1">
    <mergeCell ref="A1:B1"/>
  </mergeCells>
  <phoneticPr fontId="8" type="noConversion"/>
  <pageMargins left="0.75" right="0.75" top="1" bottom="1" header="0.5" footer="0.5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D334-BB85-B147-A3EC-A5B8AC6B5797}">
  <dimension ref="A1:X118"/>
  <sheetViews>
    <sheetView tabSelected="1" workbookViewId="0">
      <selection activeCell="D1" sqref="D1:L118"/>
    </sheetView>
  </sheetViews>
  <sheetFormatPr baseColWidth="10" defaultRowHeight="15"/>
  <sheetData>
    <row r="1" spans="1:23">
      <c r="A1" t="s">
        <v>621</v>
      </c>
      <c r="C1" t="s">
        <v>623</v>
      </c>
      <c r="D1" s="1" t="s">
        <v>0</v>
      </c>
      <c r="E1" s="1">
        <v>1996</v>
      </c>
      <c r="F1" s="1">
        <v>1997</v>
      </c>
      <c r="G1" s="1">
        <v>2000</v>
      </c>
      <c r="H1" s="1">
        <v>2002</v>
      </c>
      <c r="I1" s="1">
        <v>2008</v>
      </c>
      <c r="J1" s="1">
        <v>2013</v>
      </c>
      <c r="K1" s="1">
        <v>2022</v>
      </c>
      <c r="L1" s="1">
        <v>2023</v>
      </c>
    </row>
    <row r="2" spans="1:23">
      <c r="A2">
        <v>0.25</v>
      </c>
      <c r="D2" t="s">
        <v>62</v>
      </c>
      <c r="E2">
        <v>60.8</v>
      </c>
      <c r="F2">
        <v>61.85</v>
      </c>
      <c r="H2">
        <v>59.87</v>
      </c>
      <c r="I2">
        <v>61.1</v>
      </c>
      <c r="J2">
        <v>60.41</v>
      </c>
      <c r="K2">
        <v>65</v>
      </c>
      <c r="L2">
        <v>62.19</v>
      </c>
      <c r="O2" t="s">
        <v>625</v>
      </c>
    </row>
    <row r="3" spans="1:23">
      <c r="A3">
        <v>1.6993333333333331</v>
      </c>
      <c r="D3" t="s">
        <v>64</v>
      </c>
      <c r="E3">
        <v>72</v>
      </c>
      <c r="F3">
        <v>73.2</v>
      </c>
      <c r="G3">
        <v>76</v>
      </c>
      <c r="I3">
        <v>77.7</v>
      </c>
      <c r="J3">
        <v>75.75</v>
      </c>
      <c r="K3">
        <v>82</v>
      </c>
      <c r="O3" s="1" t="s">
        <v>0</v>
      </c>
      <c r="P3" s="1">
        <v>1996</v>
      </c>
      <c r="Q3" s="1">
        <v>1997</v>
      </c>
      <c r="R3" s="1">
        <v>2000</v>
      </c>
      <c r="S3" s="1">
        <v>2002</v>
      </c>
      <c r="T3" s="1">
        <v>2008</v>
      </c>
      <c r="U3" s="1">
        <v>2013</v>
      </c>
      <c r="V3" s="1">
        <v>2022</v>
      </c>
      <c r="W3" s="1">
        <v>2023</v>
      </c>
    </row>
    <row r="4" spans="1:23" ht="32">
      <c r="A4">
        <v>1.7729166666666667</v>
      </c>
      <c r="D4" t="s">
        <v>65</v>
      </c>
      <c r="E4">
        <v>63</v>
      </c>
      <c r="H4">
        <v>72.430000000000007</v>
      </c>
      <c r="I4">
        <v>74.05</v>
      </c>
      <c r="J4">
        <v>69.7</v>
      </c>
      <c r="K4">
        <v>78</v>
      </c>
      <c r="O4" s="18" t="s">
        <v>629</v>
      </c>
      <c r="P4">
        <v>30.79</v>
      </c>
    </row>
    <row r="5" spans="1:23" ht="32">
      <c r="A5">
        <v>1.7991666666666668</v>
      </c>
      <c r="D5" s="13" t="s">
        <v>66</v>
      </c>
      <c r="E5" s="13"/>
      <c r="F5" s="13">
        <v>219</v>
      </c>
      <c r="G5" s="13">
        <v>220.28</v>
      </c>
      <c r="H5" s="13">
        <v>200.88</v>
      </c>
      <c r="I5" s="13">
        <v>207.4</v>
      </c>
      <c r="J5" s="13">
        <v>207.5</v>
      </c>
      <c r="K5" s="13">
        <v>210</v>
      </c>
      <c r="L5" s="13"/>
      <c r="O5" s="18" t="s">
        <v>628</v>
      </c>
      <c r="Q5">
        <v>36.44</v>
      </c>
    </row>
    <row r="6" spans="1:23" ht="32">
      <c r="A6">
        <v>1.9367999999999999</v>
      </c>
      <c r="D6" s="13" t="s">
        <v>67</v>
      </c>
      <c r="E6" s="13">
        <v>197.82</v>
      </c>
      <c r="F6" s="13">
        <v>198.35</v>
      </c>
      <c r="G6" s="13">
        <v>199.46</v>
      </c>
      <c r="H6" s="13">
        <v>200.35</v>
      </c>
      <c r="I6" s="13">
        <v>205.4</v>
      </c>
      <c r="J6" s="13">
        <v>200</v>
      </c>
      <c r="K6" s="13">
        <v>212</v>
      </c>
      <c r="L6" s="13"/>
      <c r="O6" s="18" t="s">
        <v>627</v>
      </c>
      <c r="R6">
        <v>31.664999999999999</v>
      </c>
    </row>
    <row r="7" spans="1:23" ht="32">
      <c r="A7">
        <v>2.34</v>
      </c>
      <c r="D7" t="s">
        <v>68</v>
      </c>
      <c r="L7">
        <v>63.78</v>
      </c>
      <c r="O7" s="18" t="s">
        <v>626</v>
      </c>
      <c r="S7">
        <v>30.34</v>
      </c>
    </row>
    <row r="8" spans="1:23">
      <c r="A8">
        <v>2.4943749999999998</v>
      </c>
      <c r="D8" t="s">
        <v>69</v>
      </c>
      <c r="E8">
        <v>76</v>
      </c>
      <c r="F8">
        <v>76</v>
      </c>
      <c r="G8">
        <v>76.75</v>
      </c>
      <c r="H8">
        <v>76.959999999999994</v>
      </c>
      <c r="I8">
        <v>78.89</v>
      </c>
      <c r="J8">
        <v>79.61</v>
      </c>
      <c r="O8" t="s">
        <v>165</v>
      </c>
      <c r="T8">
        <v>29.06</v>
      </c>
    </row>
    <row r="9" spans="1:23">
      <c r="A9">
        <v>3.2279166666666668</v>
      </c>
      <c r="D9" t="s">
        <v>70</v>
      </c>
      <c r="E9">
        <v>60</v>
      </c>
      <c r="F9">
        <v>58.2</v>
      </c>
      <c r="G9">
        <v>58.8</v>
      </c>
      <c r="H9">
        <v>59.42</v>
      </c>
      <c r="I9">
        <v>61.76</v>
      </c>
      <c r="J9">
        <v>61.88</v>
      </c>
      <c r="O9" t="s">
        <v>152</v>
      </c>
      <c r="U9">
        <v>30.47</v>
      </c>
    </row>
    <row r="10" spans="1:23">
      <c r="A10">
        <v>3.511714285714286</v>
      </c>
      <c r="D10" t="s">
        <v>71</v>
      </c>
      <c r="L10">
        <v>77.709999999999994</v>
      </c>
      <c r="O10" t="s">
        <v>170</v>
      </c>
      <c r="V10">
        <v>36.270000000000003</v>
      </c>
    </row>
    <row r="11" spans="1:23">
      <c r="A11">
        <v>5.0066666666666668</v>
      </c>
      <c r="D11" t="s">
        <v>72</v>
      </c>
      <c r="H11">
        <v>72.209999999999994</v>
      </c>
      <c r="I11">
        <v>74.23</v>
      </c>
      <c r="L11">
        <v>76.510000000000005</v>
      </c>
      <c r="O11" t="s">
        <v>171</v>
      </c>
      <c r="W11">
        <v>30.1</v>
      </c>
    </row>
    <row r="12" spans="1:23">
      <c r="A12">
        <v>5.1349999999999998</v>
      </c>
      <c r="D12" t="s">
        <v>73</v>
      </c>
      <c r="E12">
        <v>22.56</v>
      </c>
      <c r="G12">
        <v>23.7</v>
      </c>
      <c r="H12">
        <v>24.18</v>
      </c>
      <c r="I12">
        <v>25.15</v>
      </c>
      <c r="J12">
        <v>29.2</v>
      </c>
      <c r="K12">
        <v>40</v>
      </c>
    </row>
    <row r="13" spans="1:23">
      <c r="A13">
        <v>5.9861111111111107</v>
      </c>
      <c r="D13" t="s">
        <v>74</v>
      </c>
      <c r="H13">
        <v>53.68</v>
      </c>
    </row>
    <row r="14" spans="1:23">
      <c r="A14">
        <v>6.7273333333333341</v>
      </c>
      <c r="D14" t="s">
        <v>75</v>
      </c>
      <c r="E14">
        <v>40</v>
      </c>
      <c r="F14">
        <v>42.45</v>
      </c>
      <c r="G14">
        <v>44</v>
      </c>
      <c r="H14">
        <v>44.87</v>
      </c>
      <c r="I14">
        <v>46.97</v>
      </c>
      <c r="J14">
        <v>47.21</v>
      </c>
      <c r="K14">
        <v>49.63</v>
      </c>
      <c r="L14">
        <v>52.41</v>
      </c>
    </row>
    <row r="15" spans="1:23">
      <c r="A15">
        <v>6.9919047619047623</v>
      </c>
      <c r="D15" t="s">
        <v>76</v>
      </c>
      <c r="E15">
        <v>38</v>
      </c>
      <c r="F15">
        <v>38</v>
      </c>
      <c r="G15">
        <v>38.270000000000003</v>
      </c>
      <c r="H15">
        <v>38.700000000000003</v>
      </c>
      <c r="I15">
        <v>39.31</v>
      </c>
      <c r="J15">
        <v>40.090000000000003</v>
      </c>
      <c r="K15">
        <v>60</v>
      </c>
      <c r="L15">
        <v>59.63</v>
      </c>
    </row>
    <row r="16" spans="1:23">
      <c r="A16">
        <v>7.4502857142857151</v>
      </c>
      <c r="D16" t="s">
        <v>77</v>
      </c>
      <c r="E16">
        <v>25</v>
      </c>
      <c r="G16">
        <v>17</v>
      </c>
      <c r="H16">
        <v>20.46</v>
      </c>
      <c r="I16">
        <v>21.62</v>
      </c>
      <c r="J16">
        <v>21.78</v>
      </c>
    </row>
    <row r="17" spans="1:18">
      <c r="A17">
        <v>8.1034285714285712</v>
      </c>
      <c r="D17" t="s">
        <v>78</v>
      </c>
      <c r="H17">
        <v>12.73</v>
      </c>
      <c r="I17">
        <v>13.55</v>
      </c>
      <c r="J17">
        <v>13.7</v>
      </c>
      <c r="L17">
        <v>20.010000000000002</v>
      </c>
      <c r="P17" s="11">
        <v>34.36</v>
      </c>
      <c r="Q17" t="s">
        <v>654</v>
      </c>
    </row>
    <row r="18" spans="1:18">
      <c r="A18">
        <v>8.2637142857142862</v>
      </c>
      <c r="D18" t="s">
        <v>79</v>
      </c>
      <c r="F18">
        <v>10.8</v>
      </c>
      <c r="G18">
        <v>11.2</v>
      </c>
      <c r="H18">
        <v>11.2</v>
      </c>
      <c r="I18">
        <v>12.65</v>
      </c>
      <c r="J18">
        <v>12.75</v>
      </c>
    </row>
    <row r="19" spans="1:18">
      <c r="A19">
        <v>8.3372916666666672</v>
      </c>
      <c r="D19" t="s">
        <v>80</v>
      </c>
      <c r="E19">
        <v>11.38</v>
      </c>
      <c r="F19">
        <v>12.4</v>
      </c>
      <c r="G19">
        <v>12.17</v>
      </c>
      <c r="H19">
        <v>12.35</v>
      </c>
      <c r="I19">
        <v>13.15</v>
      </c>
      <c r="J19">
        <v>16.100000000000001</v>
      </c>
      <c r="K19">
        <v>18</v>
      </c>
      <c r="L19">
        <v>19.3</v>
      </c>
    </row>
    <row r="20" spans="1:18">
      <c r="A20">
        <v>8.3516666666666666</v>
      </c>
      <c r="D20" t="s">
        <v>81</v>
      </c>
      <c r="L20">
        <v>21.8</v>
      </c>
    </row>
    <row r="21" spans="1:18">
      <c r="A21">
        <v>10.142285714285714</v>
      </c>
      <c r="D21" t="s">
        <v>82</v>
      </c>
      <c r="G21">
        <v>8.11</v>
      </c>
      <c r="H21">
        <v>8.67</v>
      </c>
      <c r="I21">
        <v>9.02</v>
      </c>
      <c r="J21">
        <v>22.4</v>
      </c>
      <c r="K21">
        <v>30</v>
      </c>
      <c r="L21">
        <v>10.87</v>
      </c>
      <c r="O21" s="19" t="s">
        <v>631</v>
      </c>
      <c r="P21" s="19"/>
      <c r="Q21" s="19"/>
      <c r="R21" s="19"/>
    </row>
    <row r="22" spans="1:18">
      <c r="A22">
        <v>10.685714285714287</v>
      </c>
      <c r="D22" t="s">
        <v>83</v>
      </c>
      <c r="E22">
        <v>48</v>
      </c>
      <c r="F22">
        <v>52.3</v>
      </c>
      <c r="G22">
        <v>53.55</v>
      </c>
      <c r="H22">
        <v>54.2</v>
      </c>
      <c r="I22">
        <v>56.05</v>
      </c>
      <c r="J22">
        <v>56.15</v>
      </c>
    </row>
    <row r="23" spans="1:18">
      <c r="A23">
        <v>11.41</v>
      </c>
      <c r="D23" t="s">
        <v>84</v>
      </c>
      <c r="K23">
        <v>63.2</v>
      </c>
      <c r="L23">
        <v>62</v>
      </c>
      <c r="O23" t="s">
        <v>630</v>
      </c>
    </row>
    <row r="24" spans="1:18">
      <c r="A24">
        <v>12.08</v>
      </c>
      <c r="D24" t="s">
        <v>85</v>
      </c>
      <c r="L24">
        <v>65.91</v>
      </c>
      <c r="O24">
        <v>2002</v>
      </c>
      <c r="P24">
        <f>(P17-S7)*100</f>
        <v>401.99999999999994</v>
      </c>
    </row>
    <row r="25" spans="1:18">
      <c r="A25">
        <v>12.484799999999998</v>
      </c>
      <c r="D25" t="s">
        <v>86</v>
      </c>
      <c r="E25">
        <v>11.92</v>
      </c>
      <c r="F25">
        <v>12</v>
      </c>
      <c r="G25">
        <v>12.35</v>
      </c>
      <c r="H25">
        <v>12.87</v>
      </c>
      <c r="I25">
        <v>13.44</v>
      </c>
      <c r="J25">
        <v>14.16</v>
      </c>
      <c r="K25">
        <v>16</v>
      </c>
      <c r="L25">
        <v>20.71</v>
      </c>
      <c r="O25">
        <v>2008</v>
      </c>
      <c r="P25">
        <f>(P17-T8)*100</f>
        <v>530.00000000000011</v>
      </c>
    </row>
    <row r="26" spans="1:18">
      <c r="A26">
        <v>12.686666666666666</v>
      </c>
      <c r="D26" t="s">
        <v>87</v>
      </c>
      <c r="E26">
        <v>5.5</v>
      </c>
      <c r="G26">
        <v>5.9</v>
      </c>
      <c r="H26">
        <v>10.47</v>
      </c>
      <c r="K26">
        <v>54</v>
      </c>
      <c r="L26">
        <v>29.2</v>
      </c>
      <c r="O26">
        <v>2013</v>
      </c>
      <c r="P26">
        <f>(P17-U9)*100</f>
        <v>389.00000000000006</v>
      </c>
    </row>
    <row r="27" spans="1:18">
      <c r="A27">
        <v>12.73</v>
      </c>
      <c r="D27" t="s">
        <v>88</v>
      </c>
      <c r="E27">
        <v>13</v>
      </c>
      <c r="F27">
        <v>13.4</v>
      </c>
      <c r="G27">
        <v>14.07</v>
      </c>
      <c r="H27">
        <v>15.31</v>
      </c>
      <c r="I27">
        <v>16.95</v>
      </c>
      <c r="J27">
        <v>18.149999999999999</v>
      </c>
      <c r="K27">
        <v>19</v>
      </c>
      <c r="O27">
        <v>2022</v>
      </c>
      <c r="P27">
        <f>(P17-V10)*100</f>
        <v>-191.00000000000037</v>
      </c>
    </row>
    <row r="28" spans="1:18">
      <c r="A28">
        <v>12.773199999999999</v>
      </c>
      <c r="D28" t="s">
        <v>89</v>
      </c>
      <c r="E28">
        <v>28</v>
      </c>
      <c r="G28">
        <v>37.549999999999997</v>
      </c>
      <c r="H28">
        <v>26.04</v>
      </c>
      <c r="I28">
        <v>27.33</v>
      </c>
      <c r="J28">
        <v>27.7</v>
      </c>
      <c r="O28">
        <v>2023</v>
      </c>
      <c r="P28">
        <f>(P17-W11)*100</f>
        <v>425.99999999999977</v>
      </c>
    </row>
    <row r="29" spans="1:18">
      <c r="A29">
        <v>12.8965</v>
      </c>
      <c r="D29" t="s">
        <v>90</v>
      </c>
      <c r="K29">
        <v>34.020000000000003</v>
      </c>
      <c r="L29">
        <v>34.700000000000003</v>
      </c>
    </row>
    <row r="30" spans="1:18">
      <c r="A30">
        <v>13.824999999999998</v>
      </c>
      <c r="D30" t="s">
        <v>91</v>
      </c>
      <c r="F30">
        <v>2.4</v>
      </c>
      <c r="G30">
        <v>2.94</v>
      </c>
      <c r="H30">
        <v>4.1900000000000004</v>
      </c>
      <c r="I30">
        <v>5.0999999999999996</v>
      </c>
      <c r="J30">
        <v>4.55</v>
      </c>
      <c r="K30">
        <v>15</v>
      </c>
      <c r="L30">
        <v>7.2</v>
      </c>
    </row>
    <row r="31" spans="1:18">
      <c r="A31">
        <v>14.591428571428571</v>
      </c>
      <c r="D31" t="s">
        <v>92</v>
      </c>
      <c r="E31">
        <v>8.52</v>
      </c>
      <c r="F31">
        <v>8.5399999999999991</v>
      </c>
      <c r="G31">
        <v>7.74</v>
      </c>
      <c r="H31">
        <v>8.27</v>
      </c>
      <c r="I31">
        <v>8.57</v>
      </c>
      <c r="J31">
        <v>8.0500000000000007</v>
      </c>
      <c r="K31">
        <v>9</v>
      </c>
      <c r="L31">
        <v>7.82</v>
      </c>
    </row>
    <row r="32" spans="1:18">
      <c r="A32">
        <v>14.997500000000002</v>
      </c>
      <c r="D32" t="s">
        <v>93</v>
      </c>
      <c r="E32">
        <v>7.49</v>
      </c>
      <c r="F32">
        <v>8.61</v>
      </c>
      <c r="G32">
        <v>8.65</v>
      </c>
      <c r="H32">
        <v>8.9700000000000006</v>
      </c>
      <c r="I32">
        <v>9.4499999999999993</v>
      </c>
      <c r="J32">
        <v>7.9</v>
      </c>
      <c r="L32">
        <v>6.74</v>
      </c>
      <c r="R32" t="s">
        <v>633</v>
      </c>
    </row>
    <row r="33" spans="1:18">
      <c r="A33">
        <v>15.020625000000001</v>
      </c>
      <c r="D33" t="s">
        <v>94</v>
      </c>
      <c r="E33">
        <v>1.5</v>
      </c>
      <c r="F33">
        <v>2.15</v>
      </c>
      <c r="G33">
        <v>2.63</v>
      </c>
      <c r="H33">
        <v>3.14</v>
      </c>
      <c r="I33">
        <v>3.88</v>
      </c>
      <c r="L33">
        <v>3.15</v>
      </c>
      <c r="R33" t="s">
        <v>634</v>
      </c>
    </row>
    <row r="34" spans="1:18">
      <c r="A34">
        <v>15.226875000000001</v>
      </c>
      <c r="D34" t="s">
        <v>95</v>
      </c>
      <c r="E34">
        <v>9</v>
      </c>
      <c r="F34">
        <v>8.7799999999999994</v>
      </c>
      <c r="G34">
        <v>8.8000000000000007</v>
      </c>
      <c r="H34">
        <v>6.25</v>
      </c>
      <c r="I34">
        <v>6.9</v>
      </c>
      <c r="J34">
        <v>6.9</v>
      </c>
      <c r="K34">
        <v>21</v>
      </c>
    </row>
    <row r="35" spans="1:18">
      <c r="A35">
        <v>15.542708333333335</v>
      </c>
      <c r="D35" t="s">
        <v>96</v>
      </c>
      <c r="L35">
        <v>12.73</v>
      </c>
    </row>
    <row r="36" spans="1:18">
      <c r="A36">
        <v>15.967500000000001</v>
      </c>
      <c r="D36" t="s">
        <v>97</v>
      </c>
      <c r="E36">
        <v>21.68</v>
      </c>
      <c r="F36">
        <v>21.96</v>
      </c>
      <c r="G36">
        <v>22.38</v>
      </c>
      <c r="H36">
        <v>22.82</v>
      </c>
      <c r="I36">
        <v>24.05</v>
      </c>
      <c r="J36">
        <v>26.4</v>
      </c>
      <c r="K36">
        <v>33.1</v>
      </c>
      <c r="L36">
        <v>24.11</v>
      </c>
      <c r="R36" t="s">
        <v>635</v>
      </c>
    </row>
    <row r="37" spans="1:18">
      <c r="A37">
        <v>17</v>
      </c>
      <c r="D37" t="s">
        <v>98</v>
      </c>
      <c r="K37">
        <v>13.8</v>
      </c>
      <c r="L37">
        <v>13.85</v>
      </c>
      <c r="R37" t="s">
        <v>636</v>
      </c>
    </row>
    <row r="38" spans="1:18">
      <c r="A38">
        <v>17.021428571428569</v>
      </c>
      <c r="D38" t="s">
        <v>99</v>
      </c>
      <c r="L38">
        <v>11.41</v>
      </c>
      <c r="R38" t="s">
        <v>637</v>
      </c>
    </row>
    <row r="39" spans="1:18">
      <c r="A39">
        <v>17.388958333333331</v>
      </c>
      <c r="D39" t="s">
        <v>100</v>
      </c>
      <c r="E39">
        <v>28.23</v>
      </c>
      <c r="F39">
        <v>28.32</v>
      </c>
      <c r="G39">
        <v>27.05</v>
      </c>
      <c r="H39">
        <v>26.77</v>
      </c>
      <c r="I39">
        <v>26.97</v>
      </c>
      <c r="J39">
        <v>27.15</v>
      </c>
      <c r="K39">
        <v>28</v>
      </c>
      <c r="L39">
        <v>27.5</v>
      </c>
      <c r="R39" t="s">
        <v>638</v>
      </c>
    </row>
    <row r="40" spans="1:18">
      <c r="A40">
        <v>20.055555555555554</v>
      </c>
      <c r="D40" t="s">
        <v>101</v>
      </c>
      <c r="G40">
        <v>6.27</v>
      </c>
      <c r="H40">
        <v>6.3</v>
      </c>
      <c r="I40">
        <v>6.45</v>
      </c>
      <c r="J40">
        <v>5.7</v>
      </c>
      <c r="K40">
        <v>4.13</v>
      </c>
      <c r="L40">
        <v>7.31</v>
      </c>
      <c r="R40" t="s">
        <v>639</v>
      </c>
    </row>
    <row r="41" spans="1:18">
      <c r="A41">
        <v>20.751904761904761</v>
      </c>
      <c r="D41" t="s">
        <v>102</v>
      </c>
      <c r="G41">
        <v>10.199999999999999</v>
      </c>
      <c r="H41">
        <v>10.3</v>
      </c>
      <c r="I41">
        <v>11.13</v>
      </c>
      <c r="J41">
        <v>12.2</v>
      </c>
      <c r="L41">
        <v>16.690000000000001</v>
      </c>
      <c r="R41" t="s">
        <v>640</v>
      </c>
    </row>
    <row r="42" spans="1:18">
      <c r="A42">
        <v>21.01</v>
      </c>
      <c r="D42" t="s">
        <v>103</v>
      </c>
      <c r="E42">
        <v>10.91</v>
      </c>
      <c r="F42">
        <v>10.85</v>
      </c>
      <c r="G42">
        <v>10.96</v>
      </c>
      <c r="H42">
        <v>10.86</v>
      </c>
      <c r="I42">
        <v>10.97</v>
      </c>
      <c r="J42">
        <v>10.73</v>
      </c>
      <c r="K42">
        <v>10.1</v>
      </c>
    </row>
    <row r="43" spans="1:18">
      <c r="A43">
        <v>21.257999999999999</v>
      </c>
      <c r="D43" t="s">
        <v>104</v>
      </c>
      <c r="L43">
        <v>2.34</v>
      </c>
    </row>
    <row r="44" spans="1:18">
      <c r="A44">
        <v>21.8</v>
      </c>
      <c r="D44" s="11" t="s">
        <v>105</v>
      </c>
      <c r="E44" s="11">
        <v>140</v>
      </c>
      <c r="F44" s="11">
        <v>94.6</v>
      </c>
      <c r="G44" s="11">
        <v>95.24</v>
      </c>
      <c r="H44" s="11">
        <v>96.13</v>
      </c>
      <c r="I44" s="11"/>
      <c r="J44" s="11"/>
      <c r="K44" s="11"/>
      <c r="L44" s="11"/>
      <c r="P44" t="s">
        <v>632</v>
      </c>
    </row>
    <row r="45" spans="1:18">
      <c r="A45">
        <v>22.3</v>
      </c>
      <c r="D45" t="s">
        <v>106</v>
      </c>
      <c r="E45">
        <v>5.17</v>
      </c>
      <c r="F45">
        <v>5.51</v>
      </c>
      <c r="G45">
        <v>6</v>
      </c>
      <c r="H45">
        <v>8.34</v>
      </c>
      <c r="I45">
        <v>8.5</v>
      </c>
      <c r="K45">
        <v>6.14</v>
      </c>
      <c r="L45">
        <v>7.53</v>
      </c>
    </row>
    <row r="46" spans="1:18">
      <c r="A46">
        <v>24.081999999999997</v>
      </c>
      <c r="D46" t="s">
        <v>107</v>
      </c>
      <c r="E46">
        <v>48.71</v>
      </c>
      <c r="F46">
        <v>50</v>
      </c>
      <c r="G46">
        <v>49.94</v>
      </c>
      <c r="H46">
        <v>50.13</v>
      </c>
      <c r="I46">
        <v>52.65</v>
      </c>
      <c r="J46">
        <v>53.41</v>
      </c>
      <c r="L46">
        <v>60</v>
      </c>
      <c r="O46" t="s">
        <v>641</v>
      </c>
    </row>
    <row r="47" spans="1:18">
      <c r="A47">
        <v>25.4</v>
      </c>
      <c r="D47" t="s">
        <v>108</v>
      </c>
      <c r="F47">
        <v>73.900000000000006</v>
      </c>
      <c r="G47">
        <v>74</v>
      </c>
      <c r="H47">
        <v>74.069999999999993</v>
      </c>
      <c r="I47">
        <v>75.55</v>
      </c>
      <c r="J47">
        <v>77.2</v>
      </c>
      <c r="K47">
        <v>90</v>
      </c>
      <c r="L47">
        <v>79.8</v>
      </c>
      <c r="O47" t="s">
        <v>643</v>
      </c>
    </row>
    <row r="48" spans="1:18">
      <c r="A48">
        <v>25.84041666666667</v>
      </c>
      <c r="D48" t="s">
        <v>109</v>
      </c>
      <c r="E48">
        <v>3.4</v>
      </c>
      <c r="F48">
        <v>3.4</v>
      </c>
      <c r="G48">
        <v>3.39</v>
      </c>
      <c r="H48">
        <v>3.41</v>
      </c>
      <c r="I48">
        <v>3.65</v>
      </c>
      <c r="J48">
        <v>3.4</v>
      </c>
      <c r="K48">
        <v>3.63</v>
      </c>
      <c r="O48" t="s">
        <v>644</v>
      </c>
    </row>
    <row r="49" spans="1:24">
      <c r="A49">
        <v>27.314791666666665</v>
      </c>
      <c r="D49" t="s">
        <v>110</v>
      </c>
      <c r="E49">
        <v>33.35</v>
      </c>
      <c r="F49">
        <v>33.200000000000003</v>
      </c>
      <c r="G49">
        <v>33.26</v>
      </c>
      <c r="H49">
        <v>34.119999999999997</v>
      </c>
      <c r="I49">
        <v>35.340000000000003</v>
      </c>
      <c r="K49">
        <v>57</v>
      </c>
      <c r="L49">
        <v>36.26</v>
      </c>
      <c r="O49" t="s">
        <v>645</v>
      </c>
    </row>
    <row r="50" spans="1:24">
      <c r="A50">
        <v>27.598499999999998</v>
      </c>
      <c r="D50" t="s">
        <v>111</v>
      </c>
      <c r="E50">
        <v>54.5</v>
      </c>
      <c r="F50">
        <v>53.94</v>
      </c>
      <c r="G50">
        <v>53.94</v>
      </c>
      <c r="H50">
        <v>38.450000000000003</v>
      </c>
      <c r="I50">
        <v>41.4</v>
      </c>
      <c r="K50">
        <v>47.3</v>
      </c>
      <c r="O50" t="s">
        <v>642</v>
      </c>
    </row>
    <row r="51" spans="1:24">
      <c r="A51">
        <v>28.670999999999999</v>
      </c>
      <c r="D51" t="s">
        <v>112</v>
      </c>
      <c r="E51">
        <v>9.1999999999999993</v>
      </c>
      <c r="F51">
        <v>9.48</v>
      </c>
      <c r="G51">
        <v>10.02</v>
      </c>
      <c r="H51">
        <v>10.6</v>
      </c>
      <c r="I51">
        <v>11.5</v>
      </c>
      <c r="J51">
        <v>12.15</v>
      </c>
      <c r="K51">
        <v>26</v>
      </c>
      <c r="O51" t="s">
        <v>646</v>
      </c>
      <c r="V51" t="s">
        <v>651</v>
      </c>
      <c r="W51" t="s">
        <v>652</v>
      </c>
      <c r="X51" t="s">
        <v>653</v>
      </c>
    </row>
    <row r="52" spans="1:24">
      <c r="A52">
        <v>29.199000000000002</v>
      </c>
      <c r="D52" t="s">
        <v>113</v>
      </c>
      <c r="L52">
        <v>25.4</v>
      </c>
      <c r="O52" t="s">
        <v>647</v>
      </c>
      <c r="V52">
        <v>2002</v>
      </c>
      <c r="W52">
        <v>0.32</v>
      </c>
      <c r="X52">
        <v>0.97</v>
      </c>
    </row>
    <row r="53" spans="1:24">
      <c r="A53">
        <v>30.4405</v>
      </c>
      <c r="D53" t="s">
        <v>114</v>
      </c>
      <c r="E53">
        <v>26.51</v>
      </c>
      <c r="F53">
        <v>26.85</v>
      </c>
      <c r="G53">
        <v>27.73</v>
      </c>
      <c r="H53">
        <v>28.34</v>
      </c>
      <c r="I53">
        <v>29.8</v>
      </c>
      <c r="J53">
        <v>30.7</v>
      </c>
      <c r="K53">
        <v>36</v>
      </c>
      <c r="L53">
        <v>34.130000000000003</v>
      </c>
      <c r="O53" t="s">
        <v>648</v>
      </c>
      <c r="V53">
        <v>2008</v>
      </c>
      <c r="W53">
        <v>0.76</v>
      </c>
      <c r="X53">
        <v>0.6</v>
      </c>
    </row>
    <row r="54" spans="1:24">
      <c r="A54">
        <v>31.49625</v>
      </c>
      <c r="D54" t="s">
        <v>115</v>
      </c>
      <c r="F54">
        <v>0.25</v>
      </c>
      <c r="G54">
        <v>0.25</v>
      </c>
      <c r="H54">
        <v>0.25</v>
      </c>
      <c r="O54" t="s">
        <v>649</v>
      </c>
      <c r="V54">
        <v>2013</v>
      </c>
      <c r="W54">
        <v>0.27</v>
      </c>
      <c r="X54">
        <v>0.38</v>
      </c>
    </row>
    <row r="55" spans="1:24">
      <c r="A55">
        <v>31.554999999999996</v>
      </c>
      <c r="D55" t="s">
        <v>116</v>
      </c>
      <c r="E55">
        <v>55.13</v>
      </c>
      <c r="F55">
        <v>56</v>
      </c>
      <c r="G55">
        <v>55.7</v>
      </c>
      <c r="H55">
        <v>56.52</v>
      </c>
      <c r="I55">
        <v>57.4</v>
      </c>
      <c r="J55">
        <v>59.13</v>
      </c>
      <c r="O55" t="s">
        <v>650</v>
      </c>
      <c r="V55">
        <v>2022</v>
      </c>
      <c r="W55">
        <v>-1.75</v>
      </c>
      <c r="X55">
        <v>-0.41</v>
      </c>
    </row>
    <row r="56" spans="1:24">
      <c r="A56">
        <v>31.605</v>
      </c>
      <c r="D56" t="s">
        <v>117</v>
      </c>
      <c r="E56">
        <v>55.21</v>
      </c>
      <c r="F56">
        <v>55.35</v>
      </c>
      <c r="G56">
        <v>56.04</v>
      </c>
      <c r="H56">
        <v>60.37</v>
      </c>
      <c r="V56">
        <v>2023</v>
      </c>
      <c r="W56">
        <v>0.4</v>
      </c>
      <c r="X56">
        <v>-1.55</v>
      </c>
    </row>
    <row r="57" spans="1:24">
      <c r="A57">
        <v>33</v>
      </c>
      <c r="D57" t="s">
        <v>118</v>
      </c>
      <c r="F57">
        <v>34</v>
      </c>
      <c r="G57">
        <v>56.91</v>
      </c>
      <c r="H57">
        <v>58.36</v>
      </c>
      <c r="L57">
        <v>60.9</v>
      </c>
    </row>
    <row r="58" spans="1:24">
      <c r="A58">
        <v>33.67</v>
      </c>
      <c r="D58" t="s">
        <v>119</v>
      </c>
      <c r="E58">
        <v>41.32</v>
      </c>
      <c r="G58">
        <v>43.1</v>
      </c>
      <c r="H58">
        <v>44</v>
      </c>
      <c r="L58">
        <v>52.65</v>
      </c>
    </row>
    <row r="59" spans="1:24">
      <c r="A59">
        <v>34.173142857142849</v>
      </c>
      <c r="D59" t="s">
        <v>120</v>
      </c>
      <c r="E59">
        <v>0.88</v>
      </c>
      <c r="G59">
        <v>0.75</v>
      </c>
      <c r="H59">
        <v>1.44</v>
      </c>
      <c r="I59">
        <v>1.6</v>
      </c>
      <c r="J59">
        <v>2.0099999999999998</v>
      </c>
      <c r="K59">
        <v>2</v>
      </c>
    </row>
    <row r="60" spans="1:24">
      <c r="A60" s="11">
        <v>34.36</v>
      </c>
      <c r="B60" t="s">
        <v>622</v>
      </c>
      <c r="D60" t="s">
        <v>121</v>
      </c>
      <c r="G60">
        <v>57.57</v>
      </c>
      <c r="H60">
        <v>62.27</v>
      </c>
    </row>
    <row r="61" spans="1:24">
      <c r="A61">
        <v>36.270000000000003</v>
      </c>
      <c r="D61" t="s">
        <v>122</v>
      </c>
      <c r="H61">
        <v>4.92</v>
      </c>
      <c r="I61">
        <v>5.35</v>
      </c>
    </row>
    <row r="62" spans="1:24">
      <c r="A62">
        <v>37.299999999999997</v>
      </c>
      <c r="D62" s="11" t="s">
        <v>123</v>
      </c>
      <c r="E62" s="11">
        <v>90</v>
      </c>
      <c r="F62" s="11">
        <v>93.7</v>
      </c>
      <c r="G62" s="11">
        <v>108.58</v>
      </c>
      <c r="H62" s="11">
        <v>110.7</v>
      </c>
      <c r="I62" s="11"/>
      <c r="J62" s="11"/>
      <c r="K62" s="11"/>
      <c r="L62" s="11">
        <v>112.6</v>
      </c>
    </row>
    <row r="63" spans="1:24">
      <c r="A63">
        <v>38.5</v>
      </c>
      <c r="D63" t="s">
        <v>124</v>
      </c>
      <c r="E63">
        <v>0.33</v>
      </c>
      <c r="F63">
        <v>0.5</v>
      </c>
      <c r="G63">
        <v>2.1</v>
      </c>
      <c r="H63">
        <v>2.04</v>
      </c>
      <c r="I63">
        <v>2.56</v>
      </c>
      <c r="J63">
        <v>1.1499999999999999</v>
      </c>
    </row>
    <row r="64" spans="1:24">
      <c r="A64">
        <v>39.139047619047624</v>
      </c>
      <c r="D64" t="s">
        <v>125</v>
      </c>
      <c r="E64">
        <v>8.57</v>
      </c>
      <c r="F64">
        <v>8.6999999999999993</v>
      </c>
      <c r="G64">
        <v>9.65</v>
      </c>
      <c r="H64">
        <v>10.84</v>
      </c>
      <c r="I64">
        <v>12.25</v>
      </c>
      <c r="J64">
        <v>13.18</v>
      </c>
      <c r="K64">
        <v>30</v>
      </c>
      <c r="L64">
        <v>23.48</v>
      </c>
    </row>
    <row r="65" spans="1:12">
      <c r="A65">
        <v>40.04485714285714</v>
      </c>
      <c r="D65" t="s">
        <v>126</v>
      </c>
      <c r="E65">
        <v>2.91</v>
      </c>
      <c r="F65">
        <v>3.15</v>
      </c>
      <c r="G65">
        <v>3.32</v>
      </c>
      <c r="H65">
        <v>4.0999999999999996</v>
      </c>
      <c r="I65">
        <v>5.05</v>
      </c>
      <c r="J65">
        <v>5.0999999999999996</v>
      </c>
      <c r="K65">
        <v>15</v>
      </c>
      <c r="L65">
        <v>14.25</v>
      </c>
    </row>
    <row r="66" spans="1:12">
      <c r="A66">
        <v>40.717380952380957</v>
      </c>
      <c r="D66" t="s">
        <v>127</v>
      </c>
      <c r="E66">
        <v>6.3</v>
      </c>
      <c r="G66">
        <v>6.8</v>
      </c>
      <c r="H66">
        <v>6.41</v>
      </c>
      <c r="I66">
        <v>6.55</v>
      </c>
      <c r="J66">
        <v>7</v>
      </c>
      <c r="K66">
        <v>7</v>
      </c>
    </row>
    <row r="67" spans="1:12">
      <c r="A67">
        <v>42.436041666666661</v>
      </c>
      <c r="D67" t="s">
        <v>128</v>
      </c>
      <c r="E67">
        <v>97.03</v>
      </c>
      <c r="F67">
        <v>97.34</v>
      </c>
      <c r="G67">
        <v>97.45</v>
      </c>
      <c r="H67">
        <v>97.85</v>
      </c>
      <c r="I67">
        <v>100.3</v>
      </c>
      <c r="J67">
        <v>100.55</v>
      </c>
    </row>
    <row r="68" spans="1:12">
      <c r="A68">
        <v>42.786874999999995</v>
      </c>
      <c r="D68" t="s">
        <v>129</v>
      </c>
      <c r="E68">
        <v>40</v>
      </c>
      <c r="F68">
        <v>41.7</v>
      </c>
      <c r="G68">
        <v>41.86</v>
      </c>
      <c r="H68">
        <v>42.65</v>
      </c>
      <c r="I68">
        <v>43.67</v>
      </c>
      <c r="K68">
        <v>47</v>
      </c>
    </row>
    <row r="69" spans="1:12">
      <c r="A69">
        <v>43.16</v>
      </c>
      <c r="D69" t="s">
        <v>130</v>
      </c>
      <c r="E69">
        <v>1.62</v>
      </c>
      <c r="H69">
        <v>1.75</v>
      </c>
      <c r="I69">
        <v>2.0499999999999998</v>
      </c>
      <c r="J69">
        <v>2</v>
      </c>
      <c r="K69">
        <v>2</v>
      </c>
    </row>
    <row r="70" spans="1:12">
      <c r="A70">
        <v>43.3</v>
      </c>
      <c r="D70" t="s">
        <v>131</v>
      </c>
      <c r="F70">
        <v>14.4</v>
      </c>
      <c r="G70">
        <v>15.98</v>
      </c>
      <c r="H70">
        <v>16.57</v>
      </c>
      <c r="I70">
        <v>17.98</v>
      </c>
      <c r="J70">
        <v>18.8</v>
      </c>
      <c r="K70">
        <v>25</v>
      </c>
      <c r="L70">
        <v>26.8</v>
      </c>
    </row>
    <row r="71" spans="1:12">
      <c r="A71">
        <v>43.851249999999993</v>
      </c>
      <c r="D71" t="s">
        <v>132</v>
      </c>
      <c r="E71">
        <v>27</v>
      </c>
      <c r="G71">
        <v>35</v>
      </c>
      <c r="H71">
        <v>36.520000000000003</v>
      </c>
      <c r="I71">
        <v>38.020000000000003</v>
      </c>
      <c r="J71">
        <v>40.74</v>
      </c>
      <c r="K71">
        <v>40</v>
      </c>
      <c r="L71">
        <v>42.45</v>
      </c>
    </row>
    <row r="72" spans="1:12">
      <c r="A72">
        <v>44.033333333333331</v>
      </c>
      <c r="D72" t="s">
        <v>133</v>
      </c>
      <c r="H72">
        <v>2.6</v>
      </c>
      <c r="I72">
        <v>2</v>
      </c>
      <c r="L72">
        <v>10.42</v>
      </c>
    </row>
    <row r="73" spans="1:12">
      <c r="A73">
        <v>46.955000000000005</v>
      </c>
      <c r="D73" t="s">
        <v>134</v>
      </c>
      <c r="E73">
        <v>8.8000000000000007</v>
      </c>
      <c r="F73">
        <v>8.6199999999999992</v>
      </c>
      <c r="G73">
        <v>11.26</v>
      </c>
      <c r="H73">
        <v>11.81</v>
      </c>
      <c r="I73">
        <v>13.78</v>
      </c>
      <c r="J73">
        <v>13.81</v>
      </c>
    </row>
    <row r="74" spans="1:12">
      <c r="A74">
        <v>47.22</v>
      </c>
      <c r="D74" t="s">
        <v>135</v>
      </c>
      <c r="E74">
        <v>2.0699999999999998</v>
      </c>
      <c r="F74">
        <v>2.2000000000000002</v>
      </c>
      <c r="G74">
        <v>2.2400000000000002</v>
      </c>
      <c r="H74">
        <v>2.2599999999999998</v>
      </c>
      <c r="I74">
        <v>2.95</v>
      </c>
      <c r="J74">
        <v>2.0699999999999998</v>
      </c>
      <c r="K74">
        <v>2</v>
      </c>
      <c r="L74">
        <v>3.3</v>
      </c>
    </row>
    <row r="75" spans="1:12">
      <c r="A75">
        <v>47.305833333333339</v>
      </c>
      <c r="D75" t="s">
        <v>136</v>
      </c>
      <c r="E75">
        <v>38.409999999999997</v>
      </c>
      <c r="F75">
        <v>37.6</v>
      </c>
      <c r="G75">
        <v>37.53</v>
      </c>
      <c r="H75">
        <v>38.35</v>
      </c>
      <c r="I75">
        <v>39.86</v>
      </c>
      <c r="J75">
        <v>40.799999999999997</v>
      </c>
      <c r="K75">
        <v>50</v>
      </c>
      <c r="L75">
        <v>44.7</v>
      </c>
    </row>
    <row r="76" spans="1:12">
      <c r="A76">
        <v>47.625</v>
      </c>
      <c r="D76" t="s">
        <v>137</v>
      </c>
      <c r="G76">
        <v>20.86</v>
      </c>
      <c r="H76">
        <v>20.25</v>
      </c>
      <c r="I76">
        <v>19.66</v>
      </c>
    </row>
    <row r="77" spans="1:12">
      <c r="A77">
        <v>47.838750000000005</v>
      </c>
      <c r="D77" t="s">
        <v>138</v>
      </c>
      <c r="F77">
        <v>83.5</v>
      </c>
      <c r="G77">
        <v>85.97</v>
      </c>
      <c r="H77">
        <v>90</v>
      </c>
      <c r="I77">
        <v>93.83</v>
      </c>
      <c r="J77">
        <v>112.21</v>
      </c>
      <c r="K77">
        <v>114</v>
      </c>
    </row>
    <row r="78" spans="1:12">
      <c r="A78">
        <v>49.619666666666674</v>
      </c>
      <c r="D78" t="s">
        <v>139</v>
      </c>
      <c r="E78">
        <v>35.020000000000003</v>
      </c>
      <c r="F78">
        <v>35.28</v>
      </c>
      <c r="G78">
        <v>35.840000000000003</v>
      </c>
      <c r="H78">
        <v>36.36</v>
      </c>
      <c r="K78">
        <v>64</v>
      </c>
    </row>
    <row r="79" spans="1:12">
      <c r="A79">
        <v>50.68</v>
      </c>
      <c r="D79" s="11" t="s">
        <v>140</v>
      </c>
      <c r="E79" s="11">
        <v>113.3</v>
      </c>
      <c r="F79" s="11">
        <v>113.4</v>
      </c>
      <c r="G79" s="11">
        <v>113.87</v>
      </c>
      <c r="H79" s="11">
        <v>116.37</v>
      </c>
      <c r="I79" s="11">
        <v>116.91</v>
      </c>
      <c r="J79" s="11">
        <v>117.3</v>
      </c>
      <c r="K79" s="11"/>
      <c r="L79" s="11">
        <v>110</v>
      </c>
    </row>
    <row r="80" spans="1:12">
      <c r="A80">
        <v>53.661999999999999</v>
      </c>
      <c r="D80" t="s">
        <v>141</v>
      </c>
      <c r="E80">
        <v>1.58</v>
      </c>
      <c r="F80">
        <v>1.6</v>
      </c>
      <c r="G80">
        <v>1.5</v>
      </c>
      <c r="H80">
        <v>1.67</v>
      </c>
      <c r="I80">
        <v>1.94</v>
      </c>
      <c r="J80">
        <v>1.8</v>
      </c>
    </row>
    <row r="81" spans="1:12">
      <c r="A81">
        <v>53.68</v>
      </c>
      <c r="D81" t="s">
        <v>142</v>
      </c>
      <c r="F81">
        <v>63.68</v>
      </c>
      <c r="G81">
        <v>64.180000000000007</v>
      </c>
      <c r="H81">
        <v>66.94</v>
      </c>
      <c r="I81">
        <v>70.06</v>
      </c>
      <c r="J81">
        <v>69.81</v>
      </c>
      <c r="K81">
        <v>69</v>
      </c>
      <c r="L81">
        <v>48</v>
      </c>
    </row>
    <row r="82" spans="1:12">
      <c r="A82">
        <v>54.943750000000001</v>
      </c>
      <c r="D82" t="s">
        <v>143</v>
      </c>
      <c r="F82">
        <v>18.62</v>
      </c>
      <c r="G82">
        <v>18.78</v>
      </c>
      <c r="H82">
        <v>18.89</v>
      </c>
      <c r="I82">
        <v>20.149999999999999</v>
      </c>
      <c r="K82">
        <v>35</v>
      </c>
    </row>
    <row r="83" spans="1:12">
      <c r="A83">
        <v>56.90958333333333</v>
      </c>
      <c r="D83" t="s">
        <v>144</v>
      </c>
      <c r="E83">
        <v>9.17</v>
      </c>
      <c r="F83">
        <v>9</v>
      </c>
      <c r="G83">
        <v>9.19</v>
      </c>
      <c r="H83">
        <v>11.07</v>
      </c>
      <c r="I83">
        <v>13.6</v>
      </c>
      <c r="J83">
        <v>11.7</v>
      </c>
      <c r="K83">
        <v>22</v>
      </c>
      <c r="L83">
        <v>18.7</v>
      </c>
    </row>
    <row r="84" spans="1:12">
      <c r="A84">
        <v>57.267499999999991</v>
      </c>
      <c r="D84" t="s">
        <v>145</v>
      </c>
      <c r="F84">
        <v>45.6</v>
      </c>
      <c r="G84">
        <v>46.7</v>
      </c>
      <c r="I84">
        <v>50.3</v>
      </c>
      <c r="J84">
        <v>67</v>
      </c>
      <c r="K84">
        <v>55</v>
      </c>
      <c r="L84">
        <v>27.17</v>
      </c>
    </row>
    <row r="85" spans="1:12">
      <c r="A85">
        <v>57.424166666666672</v>
      </c>
      <c r="D85" t="s">
        <v>146</v>
      </c>
      <c r="E85">
        <v>6.53</v>
      </c>
      <c r="F85">
        <v>4.95</v>
      </c>
      <c r="G85">
        <v>6.46</v>
      </c>
      <c r="H85">
        <v>6.24</v>
      </c>
      <c r="I85">
        <v>7.47</v>
      </c>
      <c r="J85">
        <v>7.5</v>
      </c>
      <c r="L85">
        <v>12</v>
      </c>
    </row>
    <row r="86" spans="1:12">
      <c r="A86">
        <v>58.556249999999999</v>
      </c>
      <c r="D86" t="s">
        <v>147</v>
      </c>
      <c r="E86">
        <v>106</v>
      </c>
      <c r="F86">
        <v>107.6</v>
      </c>
      <c r="G86">
        <v>110.96</v>
      </c>
      <c r="H86">
        <v>113.23</v>
      </c>
      <c r="I86">
        <v>115.96</v>
      </c>
    </row>
    <row r="87" spans="1:12">
      <c r="A87">
        <v>59.351875</v>
      </c>
      <c r="D87" t="s">
        <v>148</v>
      </c>
      <c r="F87">
        <v>49.47</v>
      </c>
      <c r="G87">
        <v>56.18</v>
      </c>
      <c r="H87">
        <v>36.03</v>
      </c>
      <c r="I87">
        <v>40.549999999999997</v>
      </c>
      <c r="J87">
        <v>38.119999999999997</v>
      </c>
      <c r="K87">
        <v>41</v>
      </c>
      <c r="L87">
        <v>44.86</v>
      </c>
    </row>
    <row r="88" spans="1:12">
      <c r="A88">
        <v>60.767499999999998</v>
      </c>
      <c r="D88" t="s">
        <v>149</v>
      </c>
      <c r="E88">
        <v>12.07</v>
      </c>
      <c r="H88">
        <v>13.07</v>
      </c>
      <c r="I88">
        <v>14.44</v>
      </c>
      <c r="J88">
        <v>13.7</v>
      </c>
      <c r="L88">
        <v>10</v>
      </c>
    </row>
    <row r="89" spans="1:12">
      <c r="A89">
        <v>61.094999999999999</v>
      </c>
      <c r="D89" s="11" t="s">
        <v>150</v>
      </c>
      <c r="E89" s="11">
        <v>106.9</v>
      </c>
      <c r="F89" s="11">
        <v>107.7</v>
      </c>
      <c r="G89" s="11">
        <v>110.43</v>
      </c>
      <c r="H89" s="11">
        <v>112.73</v>
      </c>
      <c r="I89" s="11">
        <v>116.42</v>
      </c>
      <c r="J89" s="11">
        <v>116.5</v>
      </c>
      <c r="K89" s="11">
        <v>116</v>
      </c>
      <c r="L89" s="11"/>
    </row>
    <row r="90" spans="1:12">
      <c r="A90">
        <v>61.695476190476192</v>
      </c>
      <c r="D90" t="s">
        <v>151</v>
      </c>
      <c r="E90">
        <v>49.5</v>
      </c>
      <c r="F90">
        <v>54</v>
      </c>
      <c r="G90">
        <v>56.37</v>
      </c>
      <c r="H90">
        <v>56.73</v>
      </c>
      <c r="I90">
        <v>57.65</v>
      </c>
      <c r="J90">
        <v>57.9</v>
      </c>
    </row>
    <row r="91" spans="1:12">
      <c r="A91">
        <v>62.6</v>
      </c>
      <c r="D91" t="s">
        <v>152</v>
      </c>
      <c r="F91">
        <v>29.2</v>
      </c>
      <c r="G91">
        <v>30.07</v>
      </c>
      <c r="H91">
        <v>30.13</v>
      </c>
      <c r="I91">
        <v>30.99</v>
      </c>
      <c r="J91">
        <v>30.47</v>
      </c>
    </row>
    <row r="92" spans="1:12">
      <c r="A92">
        <v>63.78</v>
      </c>
      <c r="D92" t="s">
        <v>153</v>
      </c>
      <c r="E92">
        <v>75</v>
      </c>
      <c r="F92">
        <v>75.239999999999995</v>
      </c>
      <c r="G92">
        <v>75.5</v>
      </c>
      <c r="H92">
        <v>76.13</v>
      </c>
      <c r="I92">
        <v>77.78</v>
      </c>
      <c r="J92">
        <v>79.12</v>
      </c>
      <c r="K92">
        <v>90</v>
      </c>
    </row>
    <row r="93" spans="1:12">
      <c r="A93">
        <v>64.722380952380959</v>
      </c>
      <c r="D93" t="s">
        <v>154</v>
      </c>
      <c r="F93">
        <v>11.38</v>
      </c>
      <c r="G93">
        <v>11.83</v>
      </c>
      <c r="H93">
        <v>12.19</v>
      </c>
      <c r="I93">
        <v>13.17</v>
      </c>
      <c r="J93">
        <v>13.76</v>
      </c>
    </row>
    <row r="94" spans="1:12">
      <c r="A94">
        <v>65.91</v>
      </c>
      <c r="D94" t="s">
        <v>155</v>
      </c>
      <c r="E94">
        <v>28.2</v>
      </c>
      <c r="F94">
        <v>28.7</v>
      </c>
      <c r="G94">
        <v>29</v>
      </c>
      <c r="H94">
        <v>30.55</v>
      </c>
      <c r="I94">
        <v>32.22</v>
      </c>
      <c r="J94">
        <v>37.5</v>
      </c>
      <c r="L94">
        <v>38.5</v>
      </c>
    </row>
    <row r="95" spans="1:12">
      <c r="A95">
        <v>73.123199999999997</v>
      </c>
      <c r="D95" t="s">
        <v>156</v>
      </c>
      <c r="F95">
        <v>77.819999999999993</v>
      </c>
      <c r="G95">
        <v>78.8</v>
      </c>
      <c r="H95">
        <v>80.849999999999994</v>
      </c>
      <c r="I95">
        <v>82.2</v>
      </c>
      <c r="J95">
        <v>78.599999999999994</v>
      </c>
      <c r="K95">
        <v>121.8</v>
      </c>
      <c r="L95">
        <v>77.510000000000005</v>
      </c>
    </row>
    <row r="96" spans="1:12">
      <c r="A96">
        <v>74.316666666666663</v>
      </c>
      <c r="D96" t="s">
        <v>157</v>
      </c>
      <c r="F96">
        <v>146</v>
      </c>
      <c r="G96">
        <v>146.66999999999999</v>
      </c>
      <c r="H96">
        <v>148.72</v>
      </c>
      <c r="I96">
        <v>153.03</v>
      </c>
      <c r="J96">
        <v>153.15</v>
      </c>
      <c r="K96">
        <v>151</v>
      </c>
    </row>
    <row r="97" spans="1:12">
      <c r="A97">
        <v>77.709999999999994</v>
      </c>
      <c r="D97" t="s">
        <v>158</v>
      </c>
      <c r="E97">
        <v>102</v>
      </c>
      <c r="F97">
        <v>115.57</v>
      </c>
      <c r="I97">
        <v>119.45</v>
      </c>
      <c r="J97">
        <v>119.5</v>
      </c>
    </row>
    <row r="98" spans="1:12">
      <c r="A98">
        <v>77.889583333333334</v>
      </c>
      <c r="D98" t="s">
        <v>159</v>
      </c>
      <c r="L98">
        <v>22.3</v>
      </c>
    </row>
    <row r="99" spans="1:12">
      <c r="A99">
        <v>78.20708333333333</v>
      </c>
      <c r="D99" t="s">
        <v>160</v>
      </c>
      <c r="F99">
        <v>62.27</v>
      </c>
      <c r="G99">
        <v>83.62</v>
      </c>
      <c r="H99">
        <v>84.2</v>
      </c>
    </row>
    <row r="100" spans="1:12">
      <c r="A100">
        <v>79.068095238095239</v>
      </c>
      <c r="D100" s="11" t="s">
        <v>161</v>
      </c>
      <c r="E100" s="11"/>
      <c r="F100" s="11">
        <v>159</v>
      </c>
      <c r="G100" s="11">
        <v>161.01</v>
      </c>
      <c r="H100" s="11">
        <v>162.72999999999999</v>
      </c>
      <c r="I100" s="11">
        <v>164.88</v>
      </c>
      <c r="J100" s="11">
        <v>169.12</v>
      </c>
      <c r="K100" s="11"/>
      <c r="L100" s="11">
        <v>163.5</v>
      </c>
    </row>
    <row r="101" spans="1:12">
      <c r="A101">
        <v>80.285142857142858</v>
      </c>
      <c r="D101" s="11" t="s">
        <v>162</v>
      </c>
      <c r="E101" s="11">
        <v>111.2</v>
      </c>
      <c r="F101" s="11"/>
      <c r="G101" s="11">
        <v>110.7</v>
      </c>
      <c r="H101" s="11">
        <v>94.88</v>
      </c>
      <c r="I101" s="11">
        <v>99.5</v>
      </c>
      <c r="J101" s="11">
        <v>110.05</v>
      </c>
      <c r="K101" s="11"/>
      <c r="L101" s="11">
        <v>124.8</v>
      </c>
    </row>
    <row r="102" spans="1:12">
      <c r="A102">
        <v>80.448333333333338</v>
      </c>
      <c r="D102" s="11" t="s">
        <v>163</v>
      </c>
      <c r="E102" s="11">
        <v>130</v>
      </c>
      <c r="F102" s="11"/>
      <c r="G102" s="11"/>
      <c r="H102" s="11">
        <v>143.02000000000001</v>
      </c>
      <c r="I102" s="11">
        <v>146.54</v>
      </c>
      <c r="J102" s="11"/>
      <c r="K102" s="11"/>
      <c r="L102" s="11"/>
    </row>
    <row r="103" spans="1:12">
      <c r="A103">
        <v>84.657777777777781</v>
      </c>
      <c r="D103" t="s">
        <v>164</v>
      </c>
      <c r="E103">
        <v>42.34</v>
      </c>
      <c r="H103">
        <v>43.15</v>
      </c>
      <c r="I103">
        <v>45.3</v>
      </c>
      <c r="J103">
        <v>40</v>
      </c>
    </row>
    <row r="104" spans="1:12">
      <c r="A104">
        <v>87.721428571428575</v>
      </c>
      <c r="D104" t="s">
        <v>165</v>
      </c>
      <c r="E104">
        <v>22</v>
      </c>
      <c r="H104">
        <v>27.07</v>
      </c>
      <c r="I104">
        <v>29.06</v>
      </c>
      <c r="J104">
        <v>34.81</v>
      </c>
      <c r="K104">
        <v>34.26</v>
      </c>
      <c r="L104">
        <v>33.94</v>
      </c>
    </row>
    <row r="105" spans="1:12">
      <c r="A105">
        <v>99.28</v>
      </c>
      <c r="D105" t="s">
        <v>166</v>
      </c>
      <c r="E105">
        <v>55.53</v>
      </c>
      <c r="H105">
        <v>56.42</v>
      </c>
      <c r="I105">
        <v>57.9</v>
      </c>
      <c r="J105">
        <v>64.5</v>
      </c>
    </row>
    <row r="106" spans="1:12">
      <c r="A106">
        <v>101.31125</v>
      </c>
      <c r="D106" t="s">
        <v>167</v>
      </c>
      <c r="L106">
        <v>33</v>
      </c>
    </row>
    <row r="107" spans="1:12">
      <c r="A107">
        <v>101.32499999999999</v>
      </c>
      <c r="D107" t="s">
        <v>168</v>
      </c>
      <c r="E107">
        <v>90</v>
      </c>
      <c r="H107">
        <v>81.55</v>
      </c>
      <c r="L107">
        <v>86.43</v>
      </c>
    </row>
    <row r="108" spans="1:12">
      <c r="A108">
        <v>107.55033333333333</v>
      </c>
      <c r="D108" t="s">
        <v>169</v>
      </c>
      <c r="L108">
        <v>50.68</v>
      </c>
    </row>
    <row r="109" spans="1:12">
      <c r="A109">
        <v>108.80533333333334</v>
      </c>
      <c r="D109" t="s">
        <v>170</v>
      </c>
      <c r="K109">
        <v>36.270000000000003</v>
      </c>
    </row>
    <row r="110" spans="1:12">
      <c r="A110">
        <v>113.31333333333333</v>
      </c>
      <c r="D110" t="s">
        <v>171</v>
      </c>
      <c r="K110">
        <v>33.11</v>
      </c>
      <c r="L110">
        <v>30.1</v>
      </c>
    </row>
    <row r="111" spans="1:12">
      <c r="A111">
        <v>114.80657142857142</v>
      </c>
      <c r="D111" t="s">
        <v>172</v>
      </c>
      <c r="L111">
        <v>21.01</v>
      </c>
    </row>
    <row r="112" spans="1:12">
      <c r="A112">
        <v>115.006</v>
      </c>
      <c r="D112" t="s">
        <v>173</v>
      </c>
      <c r="K112">
        <v>38.5</v>
      </c>
    </row>
    <row r="113" spans="1:12">
      <c r="A113">
        <v>117.69333333333333</v>
      </c>
      <c r="D113" t="s">
        <v>174</v>
      </c>
      <c r="E113">
        <v>37.299999999999997</v>
      </c>
    </row>
    <row r="114" spans="1:12">
      <c r="A114">
        <v>143.13777777777776</v>
      </c>
      <c r="D114" t="s">
        <v>175</v>
      </c>
      <c r="K114">
        <v>45.34</v>
      </c>
      <c r="L114">
        <v>40.98</v>
      </c>
    </row>
    <row r="115" spans="1:12">
      <c r="A115">
        <v>151.13233333333332</v>
      </c>
      <c r="D115" t="s">
        <v>176</v>
      </c>
      <c r="E115">
        <v>25</v>
      </c>
      <c r="K115">
        <v>36.56</v>
      </c>
    </row>
    <row r="116" spans="1:12">
      <c r="A116">
        <v>164.72066666666666</v>
      </c>
      <c r="D116" t="s">
        <v>177</v>
      </c>
      <c r="E116">
        <v>45</v>
      </c>
      <c r="L116">
        <v>48.5</v>
      </c>
    </row>
    <row r="117" spans="1:12">
      <c r="A117">
        <v>203.93228571428571</v>
      </c>
      <c r="D117" t="s">
        <v>178</v>
      </c>
      <c r="E117">
        <v>17</v>
      </c>
    </row>
    <row r="118" spans="1:12">
      <c r="A118">
        <v>207.32466666666664</v>
      </c>
      <c r="D118" t="s">
        <v>179</v>
      </c>
      <c r="E118">
        <v>43.3</v>
      </c>
    </row>
  </sheetData>
  <autoFilter ref="A1:A118" xr:uid="{8FEFD334-BB85-B147-A3EC-A5B8AC6B5797}">
    <sortState xmlns:xlrd2="http://schemas.microsoft.com/office/spreadsheetml/2017/richdata2" ref="A2:A118">
      <sortCondition ref="A1:A118"/>
    </sortState>
  </autoFilter>
  <mergeCells count="1">
    <mergeCell ref="O21:R2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601E-E897-8546-8A63-9AD2E4DB1D8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6F15-ED50-AC46-B78B-3D5A205AABDA}">
  <dimension ref="A1:C118"/>
  <sheetViews>
    <sheetView topLeftCell="A34" workbookViewId="0">
      <selection activeCell="A36" sqref="A36:A37"/>
    </sheetView>
  </sheetViews>
  <sheetFormatPr baseColWidth="10" defaultRowHeight="15"/>
  <sheetData>
    <row r="1" spans="1:2">
      <c r="A1" s="1" t="s">
        <v>0</v>
      </c>
      <c r="B1" s="1">
        <v>1996</v>
      </c>
    </row>
    <row r="2" spans="1:2">
      <c r="A2" t="s">
        <v>124</v>
      </c>
      <c r="B2">
        <v>0.33</v>
      </c>
    </row>
    <row r="3" spans="1:2">
      <c r="A3" t="s">
        <v>120</v>
      </c>
      <c r="B3">
        <v>0.88</v>
      </c>
    </row>
    <row r="4" spans="1:2">
      <c r="A4" s="17" t="s">
        <v>94</v>
      </c>
      <c r="B4" s="17">
        <v>1.5</v>
      </c>
    </row>
    <row r="5" spans="1:2">
      <c r="A5" s="16" t="s">
        <v>141</v>
      </c>
      <c r="B5" s="16">
        <v>1.58</v>
      </c>
    </row>
    <row r="6" spans="1:2">
      <c r="A6" s="16" t="s">
        <v>130</v>
      </c>
      <c r="B6" s="16">
        <v>1.62</v>
      </c>
    </row>
    <row r="7" spans="1:2">
      <c r="A7" s="17" t="s">
        <v>135</v>
      </c>
      <c r="B7" s="17">
        <v>2.0699999999999998</v>
      </c>
    </row>
    <row r="8" spans="1:2">
      <c r="A8" t="s">
        <v>126</v>
      </c>
      <c r="B8">
        <v>2.91</v>
      </c>
    </row>
    <row r="9" spans="1:2">
      <c r="A9" t="s">
        <v>109</v>
      </c>
      <c r="B9">
        <v>3.4</v>
      </c>
    </row>
    <row r="10" spans="1:2">
      <c r="A10" t="s">
        <v>106</v>
      </c>
      <c r="B10">
        <v>5.17</v>
      </c>
    </row>
    <row r="11" spans="1:2">
      <c r="A11" t="s">
        <v>87</v>
      </c>
      <c r="B11">
        <v>5.5</v>
      </c>
    </row>
    <row r="12" spans="1:2">
      <c r="A12" t="s">
        <v>127</v>
      </c>
      <c r="B12">
        <v>6.3</v>
      </c>
    </row>
    <row r="13" spans="1:2">
      <c r="A13" t="s">
        <v>146</v>
      </c>
      <c r="B13">
        <v>6.53</v>
      </c>
    </row>
    <row r="14" spans="1:2">
      <c r="A14" t="s">
        <v>93</v>
      </c>
      <c r="B14">
        <v>7.49</v>
      </c>
    </row>
    <row r="15" spans="1:2">
      <c r="A15" t="s">
        <v>92</v>
      </c>
      <c r="B15">
        <v>8.52</v>
      </c>
    </row>
    <row r="16" spans="1:2">
      <c r="A16" t="s">
        <v>125</v>
      </c>
      <c r="B16">
        <v>8.57</v>
      </c>
    </row>
    <row r="17" spans="1:2">
      <c r="A17" t="s">
        <v>134</v>
      </c>
      <c r="B17">
        <v>8.8000000000000007</v>
      </c>
    </row>
    <row r="18" spans="1:2">
      <c r="A18" t="s">
        <v>95</v>
      </c>
      <c r="B18">
        <v>9</v>
      </c>
    </row>
    <row r="19" spans="1:2">
      <c r="A19" t="s">
        <v>144</v>
      </c>
      <c r="B19">
        <v>9.17</v>
      </c>
    </row>
    <row r="20" spans="1:2">
      <c r="A20" t="s">
        <v>112</v>
      </c>
      <c r="B20">
        <v>9.1999999999999993</v>
      </c>
    </row>
    <row r="21" spans="1:2">
      <c r="A21" t="s">
        <v>103</v>
      </c>
      <c r="B21">
        <v>10.91</v>
      </c>
    </row>
    <row r="22" spans="1:2">
      <c r="A22" t="s">
        <v>80</v>
      </c>
      <c r="B22">
        <v>11.38</v>
      </c>
    </row>
    <row r="23" spans="1:2">
      <c r="A23" t="s">
        <v>86</v>
      </c>
      <c r="B23">
        <v>11.92</v>
      </c>
    </row>
    <row r="24" spans="1:2">
      <c r="A24" t="s">
        <v>149</v>
      </c>
      <c r="B24">
        <v>12.07</v>
      </c>
    </row>
    <row r="25" spans="1:2">
      <c r="A25" t="s">
        <v>88</v>
      </c>
      <c r="B25">
        <v>13</v>
      </c>
    </row>
    <row r="26" spans="1:2">
      <c r="A26" t="s">
        <v>178</v>
      </c>
      <c r="B26">
        <v>17</v>
      </c>
    </row>
    <row r="27" spans="1:2">
      <c r="A27" t="s">
        <v>97</v>
      </c>
      <c r="B27">
        <v>21.68</v>
      </c>
    </row>
    <row r="28" spans="1:2">
      <c r="A28" t="s">
        <v>165</v>
      </c>
      <c r="B28">
        <v>22</v>
      </c>
    </row>
    <row r="29" spans="1:2">
      <c r="A29" t="s">
        <v>73</v>
      </c>
      <c r="B29">
        <v>22.56</v>
      </c>
    </row>
    <row r="30" spans="1:2">
      <c r="A30" t="s">
        <v>77</v>
      </c>
      <c r="B30">
        <v>25</v>
      </c>
    </row>
    <row r="31" spans="1:2">
      <c r="A31" t="s">
        <v>176</v>
      </c>
      <c r="B31">
        <v>25</v>
      </c>
    </row>
    <row r="32" spans="1:2">
      <c r="A32" t="s">
        <v>114</v>
      </c>
      <c r="B32">
        <v>26.51</v>
      </c>
    </row>
    <row r="33" spans="1:3">
      <c r="A33" t="s">
        <v>132</v>
      </c>
      <c r="B33">
        <v>27</v>
      </c>
    </row>
    <row r="34" spans="1:3">
      <c r="A34" t="s">
        <v>89</v>
      </c>
      <c r="B34">
        <v>28</v>
      </c>
    </row>
    <row r="35" spans="1:3">
      <c r="A35" t="s">
        <v>155</v>
      </c>
      <c r="B35">
        <v>28.2</v>
      </c>
    </row>
    <row r="36" spans="1:3">
      <c r="A36" t="s">
        <v>100</v>
      </c>
      <c r="B36">
        <v>28.23</v>
      </c>
      <c r="C36">
        <f>AVERAGE(B36:B37)</f>
        <v>30.79</v>
      </c>
    </row>
    <row r="37" spans="1:3">
      <c r="A37" t="s">
        <v>110</v>
      </c>
      <c r="B37">
        <v>33.35</v>
      </c>
    </row>
    <row r="38" spans="1:3">
      <c r="A38" t="s">
        <v>139</v>
      </c>
      <c r="B38">
        <v>35.020000000000003</v>
      </c>
    </row>
    <row r="39" spans="1:3">
      <c r="A39" t="s">
        <v>174</v>
      </c>
      <c r="B39">
        <v>37.299999999999997</v>
      </c>
    </row>
    <row r="40" spans="1:3">
      <c r="A40" t="s">
        <v>76</v>
      </c>
      <c r="B40">
        <v>38</v>
      </c>
    </row>
    <row r="41" spans="1:3">
      <c r="A41" t="s">
        <v>136</v>
      </c>
      <c r="B41">
        <v>38.409999999999997</v>
      </c>
    </row>
    <row r="42" spans="1:3">
      <c r="A42" t="s">
        <v>75</v>
      </c>
      <c r="B42">
        <v>40</v>
      </c>
    </row>
    <row r="43" spans="1:3">
      <c r="A43" t="s">
        <v>129</v>
      </c>
      <c r="B43">
        <v>40</v>
      </c>
    </row>
    <row r="44" spans="1:3">
      <c r="A44" t="s">
        <v>119</v>
      </c>
      <c r="B44">
        <v>41.32</v>
      </c>
    </row>
    <row r="45" spans="1:3">
      <c r="A45" t="s">
        <v>164</v>
      </c>
      <c r="B45">
        <v>42.34</v>
      </c>
    </row>
    <row r="46" spans="1:3">
      <c r="A46" t="s">
        <v>179</v>
      </c>
      <c r="B46">
        <v>43.3</v>
      </c>
    </row>
    <row r="47" spans="1:3">
      <c r="A47" t="s">
        <v>177</v>
      </c>
      <c r="B47">
        <v>45</v>
      </c>
    </row>
    <row r="48" spans="1:3">
      <c r="A48" t="s">
        <v>83</v>
      </c>
      <c r="B48">
        <v>48</v>
      </c>
    </row>
    <row r="49" spans="1:2">
      <c r="A49" t="s">
        <v>107</v>
      </c>
      <c r="B49">
        <v>48.71</v>
      </c>
    </row>
    <row r="50" spans="1:2">
      <c r="A50" t="s">
        <v>151</v>
      </c>
      <c r="B50">
        <v>49.5</v>
      </c>
    </row>
    <row r="51" spans="1:2">
      <c r="A51" t="s">
        <v>111</v>
      </c>
      <c r="B51">
        <v>54.5</v>
      </c>
    </row>
    <row r="52" spans="1:2">
      <c r="A52" t="s">
        <v>116</v>
      </c>
      <c r="B52">
        <v>55.13</v>
      </c>
    </row>
    <row r="53" spans="1:2">
      <c r="A53" t="s">
        <v>117</v>
      </c>
      <c r="B53">
        <v>55.21</v>
      </c>
    </row>
    <row r="54" spans="1:2">
      <c r="A54" t="s">
        <v>166</v>
      </c>
      <c r="B54">
        <v>55.53</v>
      </c>
    </row>
    <row r="55" spans="1:2">
      <c r="A55" t="s">
        <v>70</v>
      </c>
      <c r="B55">
        <v>60</v>
      </c>
    </row>
    <row r="56" spans="1:2">
      <c r="A56" t="s">
        <v>62</v>
      </c>
      <c r="B56">
        <v>60.8</v>
      </c>
    </row>
    <row r="57" spans="1:2">
      <c r="A57" t="s">
        <v>65</v>
      </c>
      <c r="B57">
        <v>63</v>
      </c>
    </row>
    <row r="58" spans="1:2">
      <c r="A58" t="s">
        <v>64</v>
      </c>
      <c r="B58">
        <v>72</v>
      </c>
    </row>
    <row r="59" spans="1:2">
      <c r="A59" t="s">
        <v>153</v>
      </c>
      <c r="B59">
        <v>75</v>
      </c>
    </row>
    <row r="60" spans="1:2">
      <c r="A60" t="s">
        <v>69</v>
      </c>
      <c r="B60">
        <v>76</v>
      </c>
    </row>
    <row r="61" spans="1:2">
      <c r="A61" s="11" t="s">
        <v>123</v>
      </c>
      <c r="B61" s="11">
        <v>90</v>
      </c>
    </row>
    <row r="62" spans="1:2">
      <c r="A62" t="s">
        <v>168</v>
      </c>
      <c r="B62">
        <v>90</v>
      </c>
    </row>
    <row r="63" spans="1:2">
      <c r="A63" t="s">
        <v>128</v>
      </c>
      <c r="B63">
        <v>97.03</v>
      </c>
    </row>
    <row r="64" spans="1:2">
      <c r="A64" s="17" t="s">
        <v>158</v>
      </c>
      <c r="B64" s="17">
        <v>102</v>
      </c>
    </row>
    <row r="65" spans="1:2">
      <c r="A65" t="s">
        <v>147</v>
      </c>
      <c r="B65">
        <v>106</v>
      </c>
    </row>
    <row r="66" spans="1:2">
      <c r="A66" s="11" t="s">
        <v>150</v>
      </c>
      <c r="B66" s="11">
        <v>106.9</v>
      </c>
    </row>
    <row r="67" spans="1:2">
      <c r="A67" s="11" t="s">
        <v>162</v>
      </c>
      <c r="B67" s="11">
        <v>111.2</v>
      </c>
    </row>
    <row r="68" spans="1:2">
      <c r="A68" s="11" t="s">
        <v>140</v>
      </c>
      <c r="B68" s="11">
        <v>113.3</v>
      </c>
    </row>
    <row r="69" spans="1:2">
      <c r="A69" s="11" t="s">
        <v>163</v>
      </c>
      <c r="B69" s="11">
        <v>130</v>
      </c>
    </row>
    <row r="70" spans="1:2">
      <c r="A70" s="11" t="s">
        <v>105</v>
      </c>
      <c r="B70" s="11">
        <v>140</v>
      </c>
    </row>
    <row r="71" spans="1:2">
      <c r="A71" s="15" t="s">
        <v>67</v>
      </c>
      <c r="B71" s="15">
        <v>197.82</v>
      </c>
    </row>
    <row r="72" spans="1:2">
      <c r="A72" s="15" t="s">
        <v>66</v>
      </c>
      <c r="B72" s="15"/>
    </row>
    <row r="73" spans="1:2">
      <c r="A73" t="s">
        <v>68</v>
      </c>
    </row>
    <row r="74" spans="1:2">
      <c r="A74" t="s">
        <v>71</v>
      </c>
    </row>
    <row r="75" spans="1:2">
      <c r="A75" t="s">
        <v>72</v>
      </c>
    </row>
    <row r="76" spans="1:2">
      <c r="A76" t="s">
        <v>74</v>
      </c>
    </row>
    <row r="77" spans="1:2">
      <c r="A77" t="s">
        <v>78</v>
      </c>
    </row>
    <row r="78" spans="1:2">
      <c r="A78" t="s">
        <v>79</v>
      </c>
    </row>
    <row r="79" spans="1:2">
      <c r="A79" t="s">
        <v>81</v>
      </c>
    </row>
    <row r="80" spans="1:2">
      <c r="A80" t="s">
        <v>82</v>
      </c>
    </row>
    <row r="81" spans="1:1">
      <c r="A81" t="s">
        <v>84</v>
      </c>
    </row>
    <row r="82" spans="1:1">
      <c r="A82" t="s">
        <v>85</v>
      </c>
    </row>
    <row r="83" spans="1:1">
      <c r="A83" t="s">
        <v>90</v>
      </c>
    </row>
    <row r="84" spans="1:1">
      <c r="A84" t="s">
        <v>91</v>
      </c>
    </row>
    <row r="85" spans="1:1">
      <c r="A85" t="s">
        <v>96</v>
      </c>
    </row>
    <row r="86" spans="1:1">
      <c r="A86" t="s">
        <v>98</v>
      </c>
    </row>
    <row r="87" spans="1:1">
      <c r="A87" t="s">
        <v>99</v>
      </c>
    </row>
    <row r="88" spans="1:1">
      <c r="A88" t="s">
        <v>101</v>
      </c>
    </row>
    <row r="89" spans="1:1">
      <c r="A89" t="s">
        <v>102</v>
      </c>
    </row>
    <row r="90" spans="1:1">
      <c r="A90" t="s">
        <v>104</v>
      </c>
    </row>
    <row r="91" spans="1:1">
      <c r="A91" t="s">
        <v>108</v>
      </c>
    </row>
    <row r="92" spans="1:1">
      <c r="A92" t="s">
        <v>113</v>
      </c>
    </row>
    <row r="93" spans="1:1">
      <c r="A93" t="s">
        <v>115</v>
      </c>
    </row>
    <row r="94" spans="1:1">
      <c r="A94" t="s">
        <v>118</v>
      </c>
    </row>
    <row r="95" spans="1:1">
      <c r="A95" t="s">
        <v>121</v>
      </c>
    </row>
    <row r="96" spans="1:1">
      <c r="A96" t="s">
        <v>122</v>
      </c>
    </row>
    <row r="97" spans="1:2">
      <c r="A97" t="s">
        <v>131</v>
      </c>
    </row>
    <row r="98" spans="1:2">
      <c r="A98" t="s">
        <v>133</v>
      </c>
    </row>
    <row r="99" spans="1:2">
      <c r="A99" t="s">
        <v>137</v>
      </c>
    </row>
    <row r="100" spans="1:2">
      <c r="A100" t="s">
        <v>138</v>
      </c>
    </row>
    <row r="101" spans="1:2">
      <c r="A101" t="s">
        <v>142</v>
      </c>
    </row>
    <row r="102" spans="1:2">
      <c r="A102" t="s">
        <v>143</v>
      </c>
    </row>
    <row r="103" spans="1:2">
      <c r="A103" t="s">
        <v>145</v>
      </c>
    </row>
    <row r="104" spans="1:2">
      <c r="A104" t="s">
        <v>148</v>
      </c>
    </row>
    <row r="105" spans="1:2">
      <c r="A105" t="s">
        <v>152</v>
      </c>
    </row>
    <row r="106" spans="1:2">
      <c r="A106" t="s">
        <v>154</v>
      </c>
    </row>
    <row r="107" spans="1:2">
      <c r="A107" t="s">
        <v>156</v>
      </c>
    </row>
    <row r="108" spans="1:2">
      <c r="A108" s="17" t="s">
        <v>157</v>
      </c>
      <c r="B108" s="17"/>
    </row>
    <row r="109" spans="1:2">
      <c r="A109" t="s">
        <v>159</v>
      </c>
    </row>
    <row r="110" spans="1:2">
      <c r="A110" t="s">
        <v>160</v>
      </c>
    </row>
    <row r="111" spans="1:2">
      <c r="A111" s="11" t="s">
        <v>161</v>
      </c>
      <c r="B111" s="11"/>
    </row>
    <row r="112" spans="1:2">
      <c r="A112" t="s">
        <v>167</v>
      </c>
    </row>
    <row r="113" spans="1:1">
      <c r="A113" t="s">
        <v>169</v>
      </c>
    </row>
    <row r="114" spans="1:1">
      <c r="A114" t="s">
        <v>170</v>
      </c>
    </row>
    <row r="115" spans="1:1">
      <c r="A115" t="s">
        <v>171</v>
      </c>
    </row>
    <row r="116" spans="1:1">
      <c r="A116" t="s">
        <v>172</v>
      </c>
    </row>
    <row r="117" spans="1:1">
      <c r="A117" t="s">
        <v>173</v>
      </c>
    </row>
    <row r="118" spans="1:1">
      <c r="A118" t="s">
        <v>175</v>
      </c>
    </row>
  </sheetData>
  <autoFilter ref="A1:B118" xr:uid="{C54D6F15-ED50-AC46-B78B-3D5A205AABDA}">
    <sortState xmlns:xlrd2="http://schemas.microsoft.com/office/spreadsheetml/2017/richdata2" ref="A2:B118">
      <sortCondition ref="B1:B118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6E7A-1729-D445-B500-711A50C72558}">
  <dimension ref="A1:C118"/>
  <sheetViews>
    <sheetView workbookViewId="0">
      <selection activeCell="A34" sqref="A34:A35"/>
    </sheetView>
  </sheetViews>
  <sheetFormatPr baseColWidth="10" defaultRowHeight="15"/>
  <sheetData>
    <row r="1" spans="1:2">
      <c r="A1" s="1" t="s">
        <v>0</v>
      </c>
      <c r="B1" s="1">
        <v>1997</v>
      </c>
    </row>
    <row r="2" spans="1:2">
      <c r="A2" t="s">
        <v>115</v>
      </c>
      <c r="B2">
        <v>0.25</v>
      </c>
    </row>
    <row r="3" spans="1:2">
      <c r="A3" t="s">
        <v>124</v>
      </c>
      <c r="B3">
        <v>0.5</v>
      </c>
    </row>
    <row r="4" spans="1:2">
      <c r="A4" s="17" t="s">
        <v>141</v>
      </c>
      <c r="B4" s="17">
        <v>1.6</v>
      </c>
    </row>
    <row r="5" spans="1:2">
      <c r="A5" s="16" t="s">
        <v>94</v>
      </c>
      <c r="B5" s="16">
        <v>2.15</v>
      </c>
    </row>
    <row r="6" spans="1:2">
      <c r="A6" s="16" t="s">
        <v>135</v>
      </c>
      <c r="B6" s="16">
        <v>2.2000000000000002</v>
      </c>
    </row>
    <row r="7" spans="1:2">
      <c r="A7" t="s">
        <v>91</v>
      </c>
      <c r="B7">
        <v>2.4</v>
      </c>
    </row>
    <row r="8" spans="1:2">
      <c r="A8" t="s">
        <v>126</v>
      </c>
      <c r="B8">
        <v>3.15</v>
      </c>
    </row>
    <row r="9" spans="1:2">
      <c r="A9" t="s">
        <v>109</v>
      </c>
      <c r="B9">
        <v>3.4</v>
      </c>
    </row>
    <row r="10" spans="1:2">
      <c r="A10" t="s">
        <v>146</v>
      </c>
      <c r="B10">
        <v>4.95</v>
      </c>
    </row>
    <row r="11" spans="1:2">
      <c r="A11" t="s">
        <v>106</v>
      </c>
      <c r="B11">
        <v>5.51</v>
      </c>
    </row>
    <row r="12" spans="1:2">
      <c r="A12" t="s">
        <v>92</v>
      </c>
      <c r="B12">
        <v>8.5399999999999991</v>
      </c>
    </row>
    <row r="13" spans="1:2">
      <c r="A13" t="s">
        <v>93</v>
      </c>
      <c r="B13">
        <v>8.61</v>
      </c>
    </row>
    <row r="14" spans="1:2">
      <c r="A14" t="s">
        <v>134</v>
      </c>
      <c r="B14">
        <v>8.6199999999999992</v>
      </c>
    </row>
    <row r="15" spans="1:2">
      <c r="A15" t="s">
        <v>125</v>
      </c>
      <c r="B15">
        <v>8.6999999999999993</v>
      </c>
    </row>
    <row r="16" spans="1:2">
      <c r="A16" t="s">
        <v>95</v>
      </c>
      <c r="B16">
        <v>8.7799999999999994</v>
      </c>
    </row>
    <row r="17" spans="1:2">
      <c r="A17" t="s">
        <v>144</v>
      </c>
      <c r="B17">
        <v>9</v>
      </c>
    </row>
    <row r="18" spans="1:2">
      <c r="A18" t="s">
        <v>112</v>
      </c>
      <c r="B18">
        <v>9.48</v>
      </c>
    </row>
    <row r="19" spans="1:2">
      <c r="A19" t="s">
        <v>79</v>
      </c>
      <c r="B19">
        <v>10.8</v>
      </c>
    </row>
    <row r="20" spans="1:2">
      <c r="A20" t="s">
        <v>103</v>
      </c>
      <c r="B20">
        <v>10.85</v>
      </c>
    </row>
    <row r="21" spans="1:2">
      <c r="A21" t="s">
        <v>154</v>
      </c>
      <c r="B21">
        <v>11.38</v>
      </c>
    </row>
    <row r="22" spans="1:2">
      <c r="A22" t="s">
        <v>86</v>
      </c>
      <c r="B22">
        <v>12</v>
      </c>
    </row>
    <row r="23" spans="1:2">
      <c r="A23" t="s">
        <v>80</v>
      </c>
      <c r="B23">
        <v>12.4</v>
      </c>
    </row>
    <row r="24" spans="1:2">
      <c r="A24" t="s">
        <v>88</v>
      </c>
      <c r="B24">
        <v>13.4</v>
      </c>
    </row>
    <row r="25" spans="1:2">
      <c r="A25" t="s">
        <v>131</v>
      </c>
      <c r="B25">
        <v>14.4</v>
      </c>
    </row>
    <row r="26" spans="1:2">
      <c r="A26" t="s">
        <v>143</v>
      </c>
      <c r="B26">
        <v>18.62</v>
      </c>
    </row>
    <row r="27" spans="1:2">
      <c r="A27" t="s">
        <v>97</v>
      </c>
      <c r="B27">
        <v>21.96</v>
      </c>
    </row>
    <row r="28" spans="1:2">
      <c r="A28" t="s">
        <v>114</v>
      </c>
      <c r="B28">
        <v>26.85</v>
      </c>
    </row>
    <row r="29" spans="1:2">
      <c r="A29" t="s">
        <v>100</v>
      </c>
      <c r="B29">
        <v>28.32</v>
      </c>
    </row>
    <row r="30" spans="1:2">
      <c r="A30" t="s">
        <v>155</v>
      </c>
      <c r="B30">
        <v>28.7</v>
      </c>
    </row>
    <row r="31" spans="1:2">
      <c r="A31" t="s">
        <v>152</v>
      </c>
      <c r="B31">
        <v>29.2</v>
      </c>
    </row>
    <row r="32" spans="1:2">
      <c r="A32" t="s">
        <v>110</v>
      </c>
      <c r="B32">
        <v>33.200000000000003</v>
      </c>
    </row>
    <row r="33" spans="1:3">
      <c r="A33" t="s">
        <v>118</v>
      </c>
      <c r="B33">
        <v>34</v>
      </c>
    </row>
    <row r="34" spans="1:3">
      <c r="A34" t="s">
        <v>139</v>
      </c>
      <c r="B34">
        <v>35.28</v>
      </c>
      <c r="C34">
        <f>AVERAGE(B34:B35)</f>
        <v>36.44</v>
      </c>
    </row>
    <row r="35" spans="1:3">
      <c r="A35" t="s">
        <v>136</v>
      </c>
      <c r="B35">
        <v>37.6</v>
      </c>
    </row>
    <row r="36" spans="1:3">
      <c r="A36" t="s">
        <v>76</v>
      </c>
      <c r="B36">
        <v>38</v>
      </c>
    </row>
    <row r="37" spans="1:3">
      <c r="A37" t="s">
        <v>129</v>
      </c>
      <c r="B37">
        <v>41.7</v>
      </c>
    </row>
    <row r="38" spans="1:3">
      <c r="A38" t="s">
        <v>75</v>
      </c>
      <c r="B38">
        <v>42.45</v>
      </c>
    </row>
    <row r="39" spans="1:3">
      <c r="A39" t="s">
        <v>145</v>
      </c>
      <c r="B39">
        <v>45.6</v>
      </c>
    </row>
    <row r="40" spans="1:3">
      <c r="A40" t="s">
        <v>148</v>
      </c>
      <c r="B40">
        <v>49.47</v>
      </c>
    </row>
    <row r="41" spans="1:3">
      <c r="A41" t="s">
        <v>107</v>
      </c>
      <c r="B41">
        <v>50</v>
      </c>
    </row>
    <row r="42" spans="1:3">
      <c r="A42" t="s">
        <v>83</v>
      </c>
      <c r="B42">
        <v>52.3</v>
      </c>
    </row>
    <row r="43" spans="1:3">
      <c r="A43" t="s">
        <v>111</v>
      </c>
      <c r="B43">
        <v>53.94</v>
      </c>
    </row>
    <row r="44" spans="1:3">
      <c r="A44" t="s">
        <v>151</v>
      </c>
      <c r="B44">
        <v>54</v>
      </c>
    </row>
    <row r="45" spans="1:3">
      <c r="A45" t="s">
        <v>117</v>
      </c>
      <c r="B45">
        <v>55.35</v>
      </c>
    </row>
    <row r="46" spans="1:3">
      <c r="A46" t="s">
        <v>116</v>
      </c>
      <c r="B46">
        <v>56</v>
      </c>
    </row>
    <row r="47" spans="1:3">
      <c r="A47" t="s">
        <v>70</v>
      </c>
      <c r="B47">
        <v>58.2</v>
      </c>
    </row>
    <row r="48" spans="1:3">
      <c r="A48" t="s">
        <v>62</v>
      </c>
      <c r="B48">
        <v>61.85</v>
      </c>
    </row>
    <row r="49" spans="1:2">
      <c r="A49" t="s">
        <v>160</v>
      </c>
      <c r="B49">
        <v>62.27</v>
      </c>
    </row>
    <row r="50" spans="1:2">
      <c r="A50" t="s">
        <v>142</v>
      </c>
      <c r="B50">
        <v>63.68</v>
      </c>
    </row>
    <row r="51" spans="1:2">
      <c r="A51" t="s">
        <v>64</v>
      </c>
      <c r="B51">
        <v>73.2</v>
      </c>
    </row>
    <row r="52" spans="1:2">
      <c r="A52" t="s">
        <v>108</v>
      </c>
      <c r="B52">
        <v>73.900000000000006</v>
      </c>
    </row>
    <row r="53" spans="1:2">
      <c r="A53" t="s">
        <v>153</v>
      </c>
      <c r="B53">
        <v>75.239999999999995</v>
      </c>
    </row>
    <row r="54" spans="1:2">
      <c r="A54" t="s">
        <v>69</v>
      </c>
      <c r="B54">
        <v>76</v>
      </c>
    </row>
    <row r="55" spans="1:2">
      <c r="A55" t="s">
        <v>156</v>
      </c>
      <c r="B55">
        <v>77.819999999999993</v>
      </c>
    </row>
    <row r="56" spans="1:2">
      <c r="A56" t="s">
        <v>138</v>
      </c>
      <c r="B56">
        <v>83.5</v>
      </c>
    </row>
    <row r="57" spans="1:2">
      <c r="A57" s="11" t="s">
        <v>123</v>
      </c>
      <c r="B57" s="11">
        <v>93.7</v>
      </c>
    </row>
    <row r="58" spans="1:2">
      <c r="A58" s="11" t="s">
        <v>105</v>
      </c>
      <c r="B58" s="11">
        <v>94.6</v>
      </c>
    </row>
    <row r="59" spans="1:2">
      <c r="A59" t="s">
        <v>128</v>
      </c>
      <c r="B59">
        <v>97.34</v>
      </c>
    </row>
    <row r="60" spans="1:2">
      <c r="A60" t="s">
        <v>147</v>
      </c>
      <c r="B60">
        <v>107.6</v>
      </c>
    </row>
    <row r="61" spans="1:2">
      <c r="A61" s="11" t="s">
        <v>150</v>
      </c>
      <c r="B61" s="11">
        <v>107.7</v>
      </c>
    </row>
    <row r="62" spans="1:2">
      <c r="A62" s="11" t="s">
        <v>140</v>
      </c>
      <c r="B62" s="11">
        <v>113.4</v>
      </c>
    </row>
    <row r="63" spans="1:2">
      <c r="A63" s="17" t="s">
        <v>158</v>
      </c>
      <c r="B63" s="17">
        <v>115.57</v>
      </c>
    </row>
    <row r="64" spans="1:2">
      <c r="A64" s="17" t="s">
        <v>157</v>
      </c>
      <c r="B64" s="17">
        <v>146</v>
      </c>
    </row>
    <row r="65" spans="1:2">
      <c r="A65" s="11" t="s">
        <v>161</v>
      </c>
      <c r="B65" s="11">
        <v>159</v>
      </c>
    </row>
    <row r="66" spans="1:2">
      <c r="A66" s="15" t="s">
        <v>67</v>
      </c>
      <c r="B66" s="15">
        <v>198.35</v>
      </c>
    </row>
    <row r="67" spans="1:2">
      <c r="A67" s="15" t="s">
        <v>66</v>
      </c>
      <c r="B67" s="15">
        <v>219</v>
      </c>
    </row>
    <row r="68" spans="1:2">
      <c r="A68" t="s">
        <v>65</v>
      </c>
    </row>
    <row r="69" spans="1:2">
      <c r="A69" t="s">
        <v>68</v>
      </c>
    </row>
    <row r="70" spans="1:2">
      <c r="A70" t="s">
        <v>71</v>
      </c>
    </row>
    <row r="71" spans="1:2">
      <c r="A71" t="s">
        <v>72</v>
      </c>
    </row>
    <row r="72" spans="1:2">
      <c r="A72" t="s">
        <v>73</v>
      </c>
    </row>
    <row r="73" spans="1:2">
      <c r="A73" t="s">
        <v>74</v>
      </c>
    </row>
    <row r="74" spans="1:2">
      <c r="A74" t="s">
        <v>77</v>
      </c>
    </row>
    <row r="75" spans="1:2">
      <c r="A75" t="s">
        <v>78</v>
      </c>
    </row>
    <row r="76" spans="1:2">
      <c r="A76" t="s">
        <v>81</v>
      </c>
    </row>
    <row r="77" spans="1:2">
      <c r="A77" t="s">
        <v>82</v>
      </c>
    </row>
    <row r="78" spans="1:2">
      <c r="A78" t="s">
        <v>84</v>
      </c>
    </row>
    <row r="79" spans="1:2">
      <c r="A79" t="s">
        <v>85</v>
      </c>
    </row>
    <row r="80" spans="1:2">
      <c r="A80" t="s">
        <v>87</v>
      </c>
    </row>
    <row r="81" spans="1:2">
      <c r="A81" t="s">
        <v>89</v>
      </c>
    </row>
    <row r="82" spans="1:2">
      <c r="A82" t="s">
        <v>90</v>
      </c>
    </row>
    <row r="83" spans="1:2">
      <c r="A83" t="s">
        <v>96</v>
      </c>
    </row>
    <row r="84" spans="1:2">
      <c r="A84" t="s">
        <v>98</v>
      </c>
    </row>
    <row r="85" spans="1:2">
      <c r="A85" t="s">
        <v>99</v>
      </c>
    </row>
    <row r="86" spans="1:2">
      <c r="A86" t="s">
        <v>101</v>
      </c>
    </row>
    <row r="87" spans="1:2">
      <c r="A87" t="s">
        <v>102</v>
      </c>
    </row>
    <row r="88" spans="1:2">
      <c r="A88" t="s">
        <v>104</v>
      </c>
    </row>
    <row r="89" spans="1:2">
      <c r="A89" t="s">
        <v>113</v>
      </c>
    </row>
    <row r="90" spans="1:2">
      <c r="A90" t="s">
        <v>119</v>
      </c>
    </row>
    <row r="91" spans="1:2">
      <c r="A91" t="s">
        <v>120</v>
      </c>
    </row>
    <row r="92" spans="1:2">
      <c r="A92" t="s">
        <v>121</v>
      </c>
    </row>
    <row r="93" spans="1:2">
      <c r="A93" t="s">
        <v>122</v>
      </c>
    </row>
    <row r="94" spans="1:2">
      <c r="A94" t="s">
        <v>127</v>
      </c>
    </row>
    <row r="95" spans="1:2">
      <c r="A95" s="17" t="s">
        <v>130</v>
      </c>
      <c r="B95" s="17"/>
    </row>
    <row r="96" spans="1:2">
      <c r="A96" t="s">
        <v>132</v>
      </c>
    </row>
    <row r="97" spans="1:2">
      <c r="A97" t="s">
        <v>133</v>
      </c>
    </row>
    <row r="98" spans="1:2">
      <c r="A98" t="s">
        <v>137</v>
      </c>
    </row>
    <row r="99" spans="1:2">
      <c r="A99" t="s">
        <v>149</v>
      </c>
    </row>
    <row r="100" spans="1:2">
      <c r="A100" t="s">
        <v>159</v>
      </c>
    </row>
    <row r="101" spans="1:2">
      <c r="A101" s="11" t="s">
        <v>162</v>
      </c>
      <c r="B101" s="11"/>
    </row>
    <row r="102" spans="1:2">
      <c r="A102" s="11" t="s">
        <v>163</v>
      </c>
      <c r="B102" s="11"/>
    </row>
    <row r="103" spans="1:2">
      <c r="A103" t="s">
        <v>164</v>
      </c>
    </row>
    <row r="104" spans="1:2">
      <c r="A104" t="s">
        <v>165</v>
      </c>
    </row>
    <row r="105" spans="1:2">
      <c r="A105" t="s">
        <v>166</v>
      </c>
    </row>
    <row r="106" spans="1:2">
      <c r="A106" t="s">
        <v>167</v>
      </c>
    </row>
    <row r="107" spans="1:2">
      <c r="A107" t="s">
        <v>168</v>
      </c>
    </row>
    <row r="108" spans="1:2">
      <c r="A108" t="s">
        <v>169</v>
      </c>
    </row>
    <row r="109" spans="1:2">
      <c r="A109" t="s">
        <v>170</v>
      </c>
    </row>
    <row r="110" spans="1:2">
      <c r="A110" t="s">
        <v>171</v>
      </c>
    </row>
    <row r="111" spans="1:2">
      <c r="A111" t="s">
        <v>172</v>
      </c>
    </row>
    <row r="112" spans="1:2">
      <c r="A112" t="s">
        <v>173</v>
      </c>
    </row>
    <row r="113" spans="1:1">
      <c r="A113" t="s">
        <v>174</v>
      </c>
    </row>
    <row r="114" spans="1:1">
      <c r="A114" t="s">
        <v>175</v>
      </c>
    </row>
    <row r="115" spans="1:1">
      <c r="A115" t="s">
        <v>176</v>
      </c>
    </row>
    <row r="116" spans="1:1">
      <c r="A116" t="s">
        <v>177</v>
      </c>
    </row>
    <row r="117" spans="1:1">
      <c r="A117" t="s">
        <v>178</v>
      </c>
    </row>
    <row r="118" spans="1:1">
      <c r="A118" t="s">
        <v>179</v>
      </c>
    </row>
  </sheetData>
  <autoFilter ref="A1:B118" xr:uid="{1F786E7A-1729-D445-B500-711A50C72558}">
    <sortState xmlns:xlrd2="http://schemas.microsoft.com/office/spreadsheetml/2017/richdata2" ref="A2:B118">
      <sortCondition ref="B1:B118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5EB2-7D56-5546-B8EF-E55A1E70151D}">
  <dimension ref="A1:C118"/>
  <sheetViews>
    <sheetView topLeftCell="A23" workbookViewId="0">
      <selection activeCell="A39" sqref="A39:A40"/>
    </sheetView>
  </sheetViews>
  <sheetFormatPr baseColWidth="10" defaultRowHeight="15"/>
  <sheetData>
    <row r="1" spans="1:2">
      <c r="A1" s="1" t="s">
        <v>0</v>
      </c>
      <c r="B1" s="1">
        <v>2000</v>
      </c>
    </row>
    <row r="2" spans="1:2">
      <c r="A2" t="s">
        <v>115</v>
      </c>
      <c r="B2">
        <v>0.25</v>
      </c>
    </row>
    <row r="3" spans="1:2">
      <c r="A3" t="s">
        <v>120</v>
      </c>
      <c r="B3">
        <v>0.75</v>
      </c>
    </row>
    <row r="4" spans="1:2">
      <c r="A4" s="17" t="s">
        <v>141</v>
      </c>
      <c r="B4" s="17">
        <v>1.5</v>
      </c>
    </row>
    <row r="5" spans="1:2">
      <c r="A5" s="16" t="s">
        <v>124</v>
      </c>
      <c r="B5" s="16">
        <v>2.1</v>
      </c>
    </row>
    <row r="6" spans="1:2">
      <c r="A6" s="16" t="s">
        <v>135</v>
      </c>
      <c r="B6" s="16">
        <v>2.2400000000000002</v>
      </c>
    </row>
    <row r="7" spans="1:2">
      <c r="A7" s="17" t="s">
        <v>94</v>
      </c>
      <c r="B7" s="17">
        <v>2.63</v>
      </c>
    </row>
    <row r="8" spans="1:2">
      <c r="A8" t="s">
        <v>91</v>
      </c>
      <c r="B8">
        <v>2.94</v>
      </c>
    </row>
    <row r="9" spans="1:2">
      <c r="A9" t="s">
        <v>126</v>
      </c>
      <c r="B9">
        <v>3.32</v>
      </c>
    </row>
    <row r="10" spans="1:2">
      <c r="A10" t="s">
        <v>109</v>
      </c>
      <c r="B10">
        <v>3.39</v>
      </c>
    </row>
    <row r="11" spans="1:2">
      <c r="A11" t="s">
        <v>87</v>
      </c>
      <c r="B11">
        <v>5.9</v>
      </c>
    </row>
    <row r="12" spans="1:2">
      <c r="A12" t="s">
        <v>106</v>
      </c>
      <c r="B12">
        <v>6</v>
      </c>
    </row>
    <row r="13" spans="1:2">
      <c r="A13" t="s">
        <v>101</v>
      </c>
      <c r="B13">
        <v>6.27</v>
      </c>
    </row>
    <row r="14" spans="1:2">
      <c r="A14" t="s">
        <v>146</v>
      </c>
      <c r="B14">
        <v>6.46</v>
      </c>
    </row>
    <row r="15" spans="1:2">
      <c r="A15" t="s">
        <v>127</v>
      </c>
      <c r="B15">
        <v>6.8</v>
      </c>
    </row>
    <row r="16" spans="1:2">
      <c r="A16" t="s">
        <v>92</v>
      </c>
      <c r="B16">
        <v>7.74</v>
      </c>
    </row>
    <row r="17" spans="1:2">
      <c r="A17" t="s">
        <v>82</v>
      </c>
      <c r="B17">
        <v>8.11</v>
      </c>
    </row>
    <row r="18" spans="1:2">
      <c r="A18" t="s">
        <v>93</v>
      </c>
      <c r="B18">
        <v>8.65</v>
      </c>
    </row>
    <row r="19" spans="1:2">
      <c r="A19" t="s">
        <v>95</v>
      </c>
      <c r="B19">
        <v>8.8000000000000007</v>
      </c>
    </row>
    <row r="20" spans="1:2">
      <c r="A20" t="s">
        <v>144</v>
      </c>
      <c r="B20">
        <v>9.19</v>
      </c>
    </row>
    <row r="21" spans="1:2">
      <c r="A21" t="s">
        <v>125</v>
      </c>
      <c r="B21">
        <v>9.65</v>
      </c>
    </row>
    <row r="22" spans="1:2">
      <c r="A22" t="s">
        <v>112</v>
      </c>
      <c r="B22">
        <v>10.02</v>
      </c>
    </row>
    <row r="23" spans="1:2">
      <c r="A23" t="s">
        <v>102</v>
      </c>
      <c r="B23">
        <v>10.199999999999999</v>
      </c>
    </row>
    <row r="24" spans="1:2">
      <c r="A24" t="s">
        <v>103</v>
      </c>
      <c r="B24">
        <v>10.96</v>
      </c>
    </row>
    <row r="25" spans="1:2">
      <c r="A25" t="s">
        <v>79</v>
      </c>
      <c r="B25">
        <v>11.2</v>
      </c>
    </row>
    <row r="26" spans="1:2">
      <c r="A26" t="s">
        <v>134</v>
      </c>
      <c r="B26">
        <v>11.26</v>
      </c>
    </row>
    <row r="27" spans="1:2">
      <c r="A27" t="s">
        <v>154</v>
      </c>
      <c r="B27">
        <v>11.83</v>
      </c>
    </row>
    <row r="28" spans="1:2">
      <c r="A28" t="s">
        <v>80</v>
      </c>
      <c r="B28">
        <v>12.17</v>
      </c>
    </row>
    <row r="29" spans="1:2">
      <c r="A29" t="s">
        <v>86</v>
      </c>
      <c r="B29">
        <v>12.35</v>
      </c>
    </row>
    <row r="30" spans="1:2">
      <c r="A30" t="s">
        <v>88</v>
      </c>
      <c r="B30">
        <v>14.07</v>
      </c>
    </row>
    <row r="31" spans="1:2">
      <c r="A31" t="s">
        <v>131</v>
      </c>
      <c r="B31">
        <v>15.98</v>
      </c>
    </row>
    <row r="32" spans="1:2">
      <c r="A32" t="s">
        <v>77</v>
      </c>
      <c r="B32">
        <v>17</v>
      </c>
    </row>
    <row r="33" spans="1:3">
      <c r="A33" t="s">
        <v>143</v>
      </c>
      <c r="B33">
        <v>18.78</v>
      </c>
    </row>
    <row r="34" spans="1:3">
      <c r="A34" t="s">
        <v>137</v>
      </c>
      <c r="B34">
        <v>20.86</v>
      </c>
    </row>
    <row r="35" spans="1:3">
      <c r="A35" t="s">
        <v>97</v>
      </c>
      <c r="B35">
        <v>22.38</v>
      </c>
    </row>
    <row r="36" spans="1:3">
      <c r="A36" t="s">
        <v>73</v>
      </c>
      <c r="B36">
        <v>23.7</v>
      </c>
    </row>
    <row r="37" spans="1:3">
      <c r="A37" t="s">
        <v>100</v>
      </c>
      <c r="B37">
        <v>27.05</v>
      </c>
    </row>
    <row r="38" spans="1:3">
      <c r="A38" t="s">
        <v>114</v>
      </c>
      <c r="B38">
        <v>27.73</v>
      </c>
    </row>
    <row r="39" spans="1:3">
      <c r="A39" t="s">
        <v>155</v>
      </c>
      <c r="B39">
        <v>29</v>
      </c>
    </row>
    <row r="40" spans="1:3">
      <c r="A40" t="s">
        <v>152</v>
      </c>
      <c r="B40">
        <v>30.07</v>
      </c>
      <c r="C40">
        <f>AVERAGE(B40:B41)</f>
        <v>31.664999999999999</v>
      </c>
    </row>
    <row r="41" spans="1:3">
      <c r="A41" t="s">
        <v>110</v>
      </c>
      <c r="B41">
        <v>33.26</v>
      </c>
    </row>
    <row r="42" spans="1:3">
      <c r="A42" t="s">
        <v>132</v>
      </c>
      <c r="B42">
        <v>35</v>
      </c>
    </row>
    <row r="43" spans="1:3">
      <c r="A43" t="s">
        <v>139</v>
      </c>
      <c r="B43">
        <v>35.840000000000003</v>
      </c>
    </row>
    <row r="44" spans="1:3">
      <c r="A44" t="s">
        <v>136</v>
      </c>
      <c r="B44">
        <v>37.53</v>
      </c>
    </row>
    <row r="45" spans="1:3">
      <c r="A45" t="s">
        <v>89</v>
      </c>
      <c r="B45">
        <v>37.549999999999997</v>
      </c>
    </row>
    <row r="46" spans="1:3">
      <c r="A46" t="s">
        <v>76</v>
      </c>
      <c r="B46">
        <v>38.270000000000003</v>
      </c>
    </row>
    <row r="47" spans="1:3">
      <c r="A47" t="s">
        <v>129</v>
      </c>
      <c r="B47">
        <v>41.86</v>
      </c>
    </row>
    <row r="48" spans="1:3">
      <c r="A48" t="s">
        <v>119</v>
      </c>
      <c r="B48">
        <v>43.1</v>
      </c>
    </row>
    <row r="49" spans="1:2">
      <c r="A49" t="s">
        <v>75</v>
      </c>
      <c r="B49">
        <v>44</v>
      </c>
    </row>
    <row r="50" spans="1:2">
      <c r="A50" t="s">
        <v>145</v>
      </c>
      <c r="B50">
        <v>46.7</v>
      </c>
    </row>
    <row r="51" spans="1:2">
      <c r="A51" t="s">
        <v>107</v>
      </c>
      <c r="B51">
        <v>49.94</v>
      </c>
    </row>
    <row r="52" spans="1:2">
      <c r="A52" t="s">
        <v>83</v>
      </c>
      <c r="B52">
        <v>53.55</v>
      </c>
    </row>
    <row r="53" spans="1:2">
      <c r="A53" t="s">
        <v>111</v>
      </c>
      <c r="B53">
        <v>53.94</v>
      </c>
    </row>
    <row r="54" spans="1:2">
      <c r="A54" t="s">
        <v>116</v>
      </c>
      <c r="B54">
        <v>55.7</v>
      </c>
    </row>
    <row r="55" spans="1:2">
      <c r="A55" t="s">
        <v>117</v>
      </c>
      <c r="B55">
        <v>56.04</v>
      </c>
    </row>
    <row r="56" spans="1:2">
      <c r="A56" t="s">
        <v>148</v>
      </c>
      <c r="B56">
        <v>56.18</v>
      </c>
    </row>
    <row r="57" spans="1:2">
      <c r="A57" t="s">
        <v>151</v>
      </c>
      <c r="B57">
        <v>56.37</v>
      </c>
    </row>
    <row r="58" spans="1:2">
      <c r="A58" t="s">
        <v>118</v>
      </c>
      <c r="B58">
        <v>56.91</v>
      </c>
    </row>
    <row r="59" spans="1:2">
      <c r="A59" t="s">
        <v>121</v>
      </c>
      <c r="B59">
        <v>57.57</v>
      </c>
    </row>
    <row r="60" spans="1:2">
      <c r="A60" t="s">
        <v>70</v>
      </c>
      <c r="B60">
        <v>58.8</v>
      </c>
    </row>
    <row r="61" spans="1:2">
      <c r="A61" t="s">
        <v>142</v>
      </c>
      <c r="B61">
        <v>64.180000000000007</v>
      </c>
    </row>
    <row r="62" spans="1:2">
      <c r="A62" t="s">
        <v>108</v>
      </c>
      <c r="B62">
        <v>74</v>
      </c>
    </row>
    <row r="63" spans="1:2">
      <c r="A63" t="s">
        <v>153</v>
      </c>
      <c r="B63">
        <v>75.5</v>
      </c>
    </row>
    <row r="64" spans="1:2">
      <c r="A64" t="s">
        <v>64</v>
      </c>
      <c r="B64">
        <v>76</v>
      </c>
    </row>
    <row r="65" spans="1:2">
      <c r="A65" t="s">
        <v>69</v>
      </c>
      <c r="B65">
        <v>76.75</v>
      </c>
    </row>
    <row r="66" spans="1:2">
      <c r="A66" t="s">
        <v>156</v>
      </c>
      <c r="B66">
        <v>78.8</v>
      </c>
    </row>
    <row r="67" spans="1:2">
      <c r="A67" t="s">
        <v>160</v>
      </c>
      <c r="B67">
        <v>83.62</v>
      </c>
    </row>
    <row r="68" spans="1:2">
      <c r="A68" t="s">
        <v>138</v>
      </c>
      <c r="B68">
        <v>85.97</v>
      </c>
    </row>
    <row r="69" spans="1:2">
      <c r="A69" s="11" t="s">
        <v>105</v>
      </c>
      <c r="B69" s="11">
        <v>95.24</v>
      </c>
    </row>
    <row r="70" spans="1:2">
      <c r="A70" t="s">
        <v>128</v>
      </c>
      <c r="B70">
        <v>97.45</v>
      </c>
    </row>
    <row r="71" spans="1:2">
      <c r="A71" s="11" t="s">
        <v>123</v>
      </c>
      <c r="B71" s="11">
        <v>108.58</v>
      </c>
    </row>
    <row r="72" spans="1:2">
      <c r="A72" s="11" t="s">
        <v>150</v>
      </c>
      <c r="B72" s="11">
        <v>110.43</v>
      </c>
    </row>
    <row r="73" spans="1:2">
      <c r="A73" s="11" t="s">
        <v>162</v>
      </c>
      <c r="B73" s="11">
        <v>110.7</v>
      </c>
    </row>
    <row r="74" spans="1:2">
      <c r="A74" t="s">
        <v>147</v>
      </c>
      <c r="B74">
        <v>110.96</v>
      </c>
    </row>
    <row r="75" spans="1:2">
      <c r="A75" s="11" t="s">
        <v>140</v>
      </c>
      <c r="B75" s="11">
        <v>113.87</v>
      </c>
    </row>
    <row r="76" spans="1:2">
      <c r="A76" s="17" t="s">
        <v>157</v>
      </c>
      <c r="B76" s="17">
        <v>146.66999999999999</v>
      </c>
    </row>
    <row r="77" spans="1:2">
      <c r="A77" s="11" t="s">
        <v>161</v>
      </c>
      <c r="B77" s="11">
        <v>161.01</v>
      </c>
    </row>
    <row r="78" spans="1:2">
      <c r="A78" s="15" t="s">
        <v>67</v>
      </c>
      <c r="B78" s="15">
        <v>199.46</v>
      </c>
    </row>
    <row r="79" spans="1:2">
      <c r="A79" s="15" t="s">
        <v>66</v>
      </c>
      <c r="B79" s="15">
        <v>220.28</v>
      </c>
    </row>
    <row r="80" spans="1:2">
      <c r="A80" t="s">
        <v>62</v>
      </c>
    </row>
    <row r="81" spans="1:1">
      <c r="A81" t="s">
        <v>65</v>
      </c>
    </row>
    <row r="82" spans="1:1">
      <c r="A82" t="s">
        <v>68</v>
      </c>
    </row>
    <row r="83" spans="1:1">
      <c r="A83" t="s">
        <v>71</v>
      </c>
    </row>
    <row r="84" spans="1:1">
      <c r="A84" t="s">
        <v>72</v>
      </c>
    </row>
    <row r="85" spans="1:1">
      <c r="A85" t="s">
        <v>74</v>
      </c>
    </row>
    <row r="86" spans="1:1">
      <c r="A86" t="s">
        <v>78</v>
      </c>
    </row>
    <row r="87" spans="1:1">
      <c r="A87" t="s">
        <v>81</v>
      </c>
    </row>
    <row r="88" spans="1:1">
      <c r="A88" t="s">
        <v>84</v>
      </c>
    </row>
    <row r="89" spans="1:1">
      <c r="A89" t="s">
        <v>85</v>
      </c>
    </row>
    <row r="90" spans="1:1">
      <c r="A90" t="s">
        <v>90</v>
      </c>
    </row>
    <row r="91" spans="1:1">
      <c r="A91" t="s">
        <v>96</v>
      </c>
    </row>
    <row r="92" spans="1:1">
      <c r="A92" t="s">
        <v>98</v>
      </c>
    </row>
    <row r="93" spans="1:1">
      <c r="A93" t="s">
        <v>99</v>
      </c>
    </row>
    <row r="94" spans="1:1">
      <c r="A94" t="s">
        <v>104</v>
      </c>
    </row>
    <row r="95" spans="1:1">
      <c r="A95" t="s">
        <v>113</v>
      </c>
    </row>
    <row r="96" spans="1:1">
      <c r="A96" t="s">
        <v>122</v>
      </c>
    </row>
    <row r="97" spans="1:2">
      <c r="A97" s="17" t="s">
        <v>130</v>
      </c>
      <c r="B97" s="17"/>
    </row>
    <row r="98" spans="1:2">
      <c r="A98" t="s">
        <v>133</v>
      </c>
    </row>
    <row r="99" spans="1:2">
      <c r="A99" t="s">
        <v>149</v>
      </c>
    </row>
    <row r="100" spans="1:2">
      <c r="A100" s="17" t="s">
        <v>158</v>
      </c>
      <c r="B100" s="17"/>
    </row>
    <row r="101" spans="1:2">
      <c r="A101" t="s">
        <v>159</v>
      </c>
    </row>
    <row r="102" spans="1:2">
      <c r="A102" s="11" t="s">
        <v>163</v>
      </c>
      <c r="B102" s="11"/>
    </row>
    <row r="103" spans="1:2">
      <c r="A103" t="s">
        <v>164</v>
      </c>
    </row>
    <row r="104" spans="1:2">
      <c r="A104" t="s">
        <v>165</v>
      </c>
    </row>
    <row r="105" spans="1:2">
      <c r="A105" t="s">
        <v>166</v>
      </c>
    </row>
    <row r="106" spans="1:2">
      <c r="A106" t="s">
        <v>167</v>
      </c>
    </row>
    <row r="107" spans="1:2">
      <c r="A107" t="s">
        <v>168</v>
      </c>
    </row>
    <row r="108" spans="1:2">
      <c r="A108" t="s">
        <v>169</v>
      </c>
    </row>
    <row r="109" spans="1:2">
      <c r="A109" t="s">
        <v>170</v>
      </c>
    </row>
    <row r="110" spans="1:2">
      <c r="A110" t="s">
        <v>171</v>
      </c>
    </row>
    <row r="111" spans="1:2">
      <c r="A111" t="s">
        <v>172</v>
      </c>
    </row>
    <row r="112" spans="1:2">
      <c r="A112" t="s">
        <v>173</v>
      </c>
    </row>
    <row r="113" spans="1:1">
      <c r="A113" t="s">
        <v>174</v>
      </c>
    </row>
    <row r="114" spans="1:1">
      <c r="A114" t="s">
        <v>175</v>
      </c>
    </row>
    <row r="115" spans="1:1">
      <c r="A115" t="s">
        <v>176</v>
      </c>
    </row>
    <row r="116" spans="1:1">
      <c r="A116" t="s">
        <v>177</v>
      </c>
    </row>
    <row r="117" spans="1:1">
      <c r="A117" t="s">
        <v>178</v>
      </c>
    </row>
    <row r="118" spans="1:1">
      <c r="A118" t="s">
        <v>179</v>
      </c>
    </row>
  </sheetData>
  <autoFilter ref="A1:B118" xr:uid="{B6135EB2-7D56-5546-B8EF-E55A1E70151D}">
    <sortState xmlns:xlrd2="http://schemas.microsoft.com/office/spreadsheetml/2017/richdata2" ref="A2:B118">
      <sortCondition ref="B1:B118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35D8-F508-1E40-8173-7A831899F517}">
  <dimension ref="A1:C118"/>
  <sheetViews>
    <sheetView workbookViewId="0">
      <selection activeCell="A46" sqref="A46:A47"/>
    </sheetView>
  </sheetViews>
  <sheetFormatPr baseColWidth="10" defaultRowHeight="15"/>
  <sheetData>
    <row r="1" spans="1:2">
      <c r="A1" s="1" t="s">
        <v>0</v>
      </c>
      <c r="B1" s="1">
        <v>2002</v>
      </c>
    </row>
    <row r="2" spans="1:2">
      <c r="A2" t="s">
        <v>115</v>
      </c>
      <c r="B2">
        <v>0.25</v>
      </c>
    </row>
    <row r="3" spans="1:2">
      <c r="A3" t="s">
        <v>120</v>
      </c>
      <c r="B3">
        <v>1.44</v>
      </c>
    </row>
    <row r="4" spans="1:2">
      <c r="A4" s="17" t="s">
        <v>141</v>
      </c>
      <c r="B4" s="17">
        <v>1.67</v>
      </c>
    </row>
    <row r="5" spans="1:2">
      <c r="A5" s="16" t="s">
        <v>130</v>
      </c>
      <c r="B5" s="16">
        <v>1.75</v>
      </c>
    </row>
    <row r="6" spans="1:2">
      <c r="A6" s="16" t="s">
        <v>124</v>
      </c>
      <c r="B6" s="16">
        <v>2.04</v>
      </c>
    </row>
    <row r="7" spans="1:2">
      <c r="A7" s="17" t="s">
        <v>135</v>
      </c>
      <c r="B7" s="17">
        <v>2.2599999999999998</v>
      </c>
    </row>
    <row r="8" spans="1:2">
      <c r="A8" t="s">
        <v>133</v>
      </c>
      <c r="B8">
        <v>2.6</v>
      </c>
    </row>
    <row r="9" spans="1:2">
      <c r="A9" s="17" t="s">
        <v>94</v>
      </c>
      <c r="B9" s="17">
        <v>3.14</v>
      </c>
    </row>
    <row r="10" spans="1:2">
      <c r="A10" t="s">
        <v>109</v>
      </c>
      <c r="B10">
        <v>3.41</v>
      </c>
    </row>
    <row r="11" spans="1:2">
      <c r="A11" t="s">
        <v>126</v>
      </c>
      <c r="B11">
        <v>4.0999999999999996</v>
      </c>
    </row>
    <row r="12" spans="1:2">
      <c r="A12" t="s">
        <v>91</v>
      </c>
      <c r="B12">
        <v>4.1900000000000004</v>
      </c>
    </row>
    <row r="13" spans="1:2">
      <c r="A13" t="s">
        <v>122</v>
      </c>
      <c r="B13">
        <v>4.92</v>
      </c>
    </row>
    <row r="14" spans="1:2">
      <c r="A14" t="s">
        <v>146</v>
      </c>
      <c r="B14">
        <v>6.24</v>
      </c>
    </row>
    <row r="15" spans="1:2">
      <c r="A15" t="s">
        <v>95</v>
      </c>
      <c r="B15">
        <v>6.25</v>
      </c>
    </row>
    <row r="16" spans="1:2">
      <c r="A16" t="s">
        <v>101</v>
      </c>
      <c r="B16">
        <v>6.3</v>
      </c>
    </row>
    <row r="17" spans="1:2">
      <c r="A17" t="s">
        <v>127</v>
      </c>
      <c r="B17">
        <v>6.41</v>
      </c>
    </row>
    <row r="18" spans="1:2">
      <c r="A18" t="s">
        <v>92</v>
      </c>
      <c r="B18">
        <v>8.27</v>
      </c>
    </row>
    <row r="19" spans="1:2">
      <c r="A19" t="s">
        <v>106</v>
      </c>
      <c r="B19">
        <v>8.34</v>
      </c>
    </row>
    <row r="20" spans="1:2">
      <c r="A20" t="s">
        <v>82</v>
      </c>
      <c r="B20">
        <v>8.67</v>
      </c>
    </row>
    <row r="21" spans="1:2">
      <c r="A21" t="s">
        <v>93</v>
      </c>
      <c r="B21">
        <v>8.9700000000000006</v>
      </c>
    </row>
    <row r="22" spans="1:2">
      <c r="A22" t="s">
        <v>102</v>
      </c>
      <c r="B22">
        <v>10.3</v>
      </c>
    </row>
    <row r="23" spans="1:2">
      <c r="A23" t="s">
        <v>87</v>
      </c>
      <c r="B23">
        <v>10.47</v>
      </c>
    </row>
    <row r="24" spans="1:2">
      <c r="A24" t="s">
        <v>112</v>
      </c>
      <c r="B24">
        <v>10.6</v>
      </c>
    </row>
    <row r="25" spans="1:2">
      <c r="A25" t="s">
        <v>125</v>
      </c>
      <c r="B25">
        <v>10.84</v>
      </c>
    </row>
    <row r="26" spans="1:2">
      <c r="A26" t="s">
        <v>103</v>
      </c>
      <c r="B26">
        <v>10.86</v>
      </c>
    </row>
    <row r="27" spans="1:2">
      <c r="A27" t="s">
        <v>144</v>
      </c>
      <c r="B27">
        <v>11.07</v>
      </c>
    </row>
    <row r="28" spans="1:2">
      <c r="A28" t="s">
        <v>79</v>
      </c>
      <c r="B28">
        <v>11.2</v>
      </c>
    </row>
    <row r="29" spans="1:2">
      <c r="A29" t="s">
        <v>134</v>
      </c>
      <c r="B29">
        <v>11.81</v>
      </c>
    </row>
    <row r="30" spans="1:2">
      <c r="A30" t="s">
        <v>154</v>
      </c>
      <c r="B30">
        <v>12.19</v>
      </c>
    </row>
    <row r="31" spans="1:2">
      <c r="A31" t="s">
        <v>80</v>
      </c>
      <c r="B31">
        <v>12.35</v>
      </c>
    </row>
    <row r="32" spans="1:2">
      <c r="A32" t="s">
        <v>78</v>
      </c>
      <c r="B32">
        <v>12.73</v>
      </c>
    </row>
    <row r="33" spans="1:3">
      <c r="A33" t="s">
        <v>86</v>
      </c>
      <c r="B33">
        <v>12.87</v>
      </c>
    </row>
    <row r="34" spans="1:3">
      <c r="A34" t="s">
        <v>149</v>
      </c>
      <c r="B34">
        <v>13.07</v>
      </c>
    </row>
    <row r="35" spans="1:3">
      <c r="A35" t="s">
        <v>88</v>
      </c>
      <c r="B35">
        <v>15.31</v>
      </c>
    </row>
    <row r="36" spans="1:3">
      <c r="A36" t="s">
        <v>131</v>
      </c>
      <c r="B36">
        <v>16.57</v>
      </c>
    </row>
    <row r="37" spans="1:3">
      <c r="A37" t="s">
        <v>143</v>
      </c>
      <c r="B37">
        <v>18.89</v>
      </c>
    </row>
    <row r="38" spans="1:3">
      <c r="A38" t="s">
        <v>137</v>
      </c>
      <c r="B38">
        <v>20.25</v>
      </c>
    </row>
    <row r="39" spans="1:3">
      <c r="A39" t="s">
        <v>77</v>
      </c>
      <c r="B39">
        <v>20.46</v>
      </c>
    </row>
    <row r="40" spans="1:3">
      <c r="A40" t="s">
        <v>97</v>
      </c>
      <c r="B40">
        <v>22.82</v>
      </c>
    </row>
    <row r="41" spans="1:3">
      <c r="A41" t="s">
        <v>73</v>
      </c>
      <c r="B41">
        <v>24.18</v>
      </c>
    </row>
    <row r="42" spans="1:3">
      <c r="A42" t="s">
        <v>89</v>
      </c>
      <c r="B42">
        <v>26.04</v>
      </c>
    </row>
    <row r="43" spans="1:3">
      <c r="A43" t="s">
        <v>100</v>
      </c>
      <c r="B43">
        <v>26.77</v>
      </c>
    </row>
    <row r="44" spans="1:3">
      <c r="A44" t="s">
        <v>165</v>
      </c>
      <c r="B44">
        <v>27.07</v>
      </c>
    </row>
    <row r="45" spans="1:3">
      <c r="A45" t="s">
        <v>114</v>
      </c>
      <c r="B45">
        <v>28.34</v>
      </c>
    </row>
    <row r="46" spans="1:3">
      <c r="A46" t="s">
        <v>152</v>
      </c>
      <c r="B46">
        <v>30.13</v>
      </c>
      <c r="C46">
        <f>AVERAGE(B46:B47)</f>
        <v>30.34</v>
      </c>
    </row>
    <row r="47" spans="1:3">
      <c r="A47" t="s">
        <v>155</v>
      </c>
      <c r="B47">
        <v>30.55</v>
      </c>
    </row>
    <row r="48" spans="1:3">
      <c r="A48" t="s">
        <v>110</v>
      </c>
      <c r="B48">
        <v>34.119999999999997</v>
      </c>
    </row>
    <row r="49" spans="1:2">
      <c r="A49" t="s">
        <v>148</v>
      </c>
      <c r="B49">
        <v>36.03</v>
      </c>
    </row>
    <row r="50" spans="1:2">
      <c r="A50" t="s">
        <v>139</v>
      </c>
      <c r="B50">
        <v>36.36</v>
      </c>
    </row>
    <row r="51" spans="1:2">
      <c r="A51" t="s">
        <v>132</v>
      </c>
      <c r="B51">
        <v>36.520000000000003</v>
      </c>
    </row>
    <row r="52" spans="1:2">
      <c r="A52" t="s">
        <v>136</v>
      </c>
      <c r="B52">
        <v>38.35</v>
      </c>
    </row>
    <row r="53" spans="1:2">
      <c r="A53" t="s">
        <v>111</v>
      </c>
      <c r="B53">
        <v>38.450000000000003</v>
      </c>
    </row>
    <row r="54" spans="1:2">
      <c r="A54" t="s">
        <v>76</v>
      </c>
      <c r="B54">
        <v>38.700000000000003</v>
      </c>
    </row>
    <row r="55" spans="1:2">
      <c r="A55" t="s">
        <v>129</v>
      </c>
      <c r="B55">
        <v>42.65</v>
      </c>
    </row>
    <row r="56" spans="1:2">
      <c r="A56" t="s">
        <v>164</v>
      </c>
      <c r="B56">
        <v>43.15</v>
      </c>
    </row>
    <row r="57" spans="1:2">
      <c r="A57" t="s">
        <v>119</v>
      </c>
      <c r="B57">
        <v>44</v>
      </c>
    </row>
    <row r="58" spans="1:2">
      <c r="A58" t="s">
        <v>75</v>
      </c>
      <c r="B58">
        <v>44.87</v>
      </c>
    </row>
    <row r="59" spans="1:2">
      <c r="A59" t="s">
        <v>107</v>
      </c>
      <c r="B59">
        <v>50.13</v>
      </c>
    </row>
    <row r="60" spans="1:2">
      <c r="A60" t="s">
        <v>74</v>
      </c>
      <c r="B60">
        <v>53.68</v>
      </c>
    </row>
    <row r="61" spans="1:2">
      <c r="A61" t="s">
        <v>83</v>
      </c>
      <c r="B61">
        <v>54.2</v>
      </c>
    </row>
    <row r="62" spans="1:2">
      <c r="A62" t="s">
        <v>166</v>
      </c>
      <c r="B62">
        <v>56.42</v>
      </c>
    </row>
    <row r="63" spans="1:2">
      <c r="A63" t="s">
        <v>116</v>
      </c>
      <c r="B63">
        <v>56.52</v>
      </c>
    </row>
    <row r="64" spans="1:2">
      <c r="A64" t="s">
        <v>151</v>
      </c>
      <c r="B64">
        <v>56.73</v>
      </c>
    </row>
    <row r="65" spans="1:2">
      <c r="A65" t="s">
        <v>118</v>
      </c>
      <c r="B65">
        <v>58.36</v>
      </c>
    </row>
    <row r="66" spans="1:2">
      <c r="A66" t="s">
        <v>70</v>
      </c>
      <c r="B66">
        <v>59.42</v>
      </c>
    </row>
    <row r="67" spans="1:2">
      <c r="A67" t="s">
        <v>62</v>
      </c>
      <c r="B67">
        <v>59.87</v>
      </c>
    </row>
    <row r="68" spans="1:2">
      <c r="A68" t="s">
        <v>117</v>
      </c>
      <c r="B68">
        <v>60.37</v>
      </c>
    </row>
    <row r="69" spans="1:2">
      <c r="A69" t="s">
        <v>121</v>
      </c>
      <c r="B69">
        <v>62.27</v>
      </c>
    </row>
    <row r="70" spans="1:2">
      <c r="A70" t="s">
        <v>142</v>
      </c>
      <c r="B70">
        <v>66.94</v>
      </c>
    </row>
    <row r="71" spans="1:2">
      <c r="A71" t="s">
        <v>72</v>
      </c>
      <c r="B71">
        <v>72.209999999999994</v>
      </c>
    </row>
    <row r="72" spans="1:2">
      <c r="A72" t="s">
        <v>65</v>
      </c>
      <c r="B72">
        <v>72.430000000000007</v>
      </c>
    </row>
    <row r="73" spans="1:2">
      <c r="A73" t="s">
        <v>108</v>
      </c>
      <c r="B73">
        <v>74.069999999999993</v>
      </c>
    </row>
    <row r="74" spans="1:2">
      <c r="A74" t="s">
        <v>153</v>
      </c>
      <c r="B74">
        <v>76.13</v>
      </c>
    </row>
    <row r="75" spans="1:2">
      <c r="A75" t="s">
        <v>69</v>
      </c>
      <c r="B75">
        <v>76.959999999999994</v>
      </c>
    </row>
    <row r="76" spans="1:2">
      <c r="A76" t="s">
        <v>156</v>
      </c>
      <c r="B76">
        <v>80.849999999999994</v>
      </c>
    </row>
    <row r="77" spans="1:2">
      <c r="A77" t="s">
        <v>168</v>
      </c>
      <c r="B77">
        <v>81.55</v>
      </c>
    </row>
    <row r="78" spans="1:2">
      <c r="A78" t="s">
        <v>160</v>
      </c>
      <c r="B78">
        <v>84.2</v>
      </c>
    </row>
    <row r="79" spans="1:2">
      <c r="A79" t="s">
        <v>138</v>
      </c>
      <c r="B79">
        <v>90</v>
      </c>
    </row>
    <row r="80" spans="1:2">
      <c r="A80" s="11" t="s">
        <v>162</v>
      </c>
      <c r="B80" s="11">
        <v>94.88</v>
      </c>
    </row>
    <row r="81" spans="1:2">
      <c r="A81" s="11" t="s">
        <v>105</v>
      </c>
      <c r="B81" s="11">
        <v>96.13</v>
      </c>
    </row>
    <row r="82" spans="1:2">
      <c r="A82" t="s">
        <v>128</v>
      </c>
      <c r="B82">
        <v>97.85</v>
      </c>
    </row>
    <row r="83" spans="1:2">
      <c r="A83" s="11" t="s">
        <v>123</v>
      </c>
      <c r="B83" s="11">
        <v>110.7</v>
      </c>
    </row>
    <row r="84" spans="1:2">
      <c r="A84" s="11" t="s">
        <v>150</v>
      </c>
      <c r="B84" s="11">
        <v>112.73</v>
      </c>
    </row>
    <row r="85" spans="1:2">
      <c r="A85" t="s">
        <v>147</v>
      </c>
      <c r="B85">
        <v>113.23</v>
      </c>
    </row>
    <row r="86" spans="1:2">
      <c r="A86" s="11" t="s">
        <v>140</v>
      </c>
      <c r="B86" s="11">
        <v>116.37</v>
      </c>
    </row>
    <row r="87" spans="1:2">
      <c r="A87" s="11" t="s">
        <v>163</v>
      </c>
      <c r="B87" s="11">
        <v>143.02000000000001</v>
      </c>
    </row>
    <row r="88" spans="1:2">
      <c r="A88" s="17" t="s">
        <v>157</v>
      </c>
      <c r="B88" s="17">
        <v>148.72</v>
      </c>
    </row>
    <row r="89" spans="1:2">
      <c r="A89" s="11" t="s">
        <v>161</v>
      </c>
      <c r="B89" s="11">
        <v>162.72999999999999</v>
      </c>
    </row>
    <row r="90" spans="1:2">
      <c r="A90" s="15" t="s">
        <v>67</v>
      </c>
      <c r="B90" s="15">
        <v>200.35</v>
      </c>
    </row>
    <row r="91" spans="1:2">
      <c r="A91" s="15" t="s">
        <v>66</v>
      </c>
      <c r="B91" s="15">
        <v>200.88</v>
      </c>
    </row>
    <row r="92" spans="1:2">
      <c r="A92" t="s">
        <v>64</v>
      </c>
    </row>
    <row r="93" spans="1:2">
      <c r="A93" t="s">
        <v>68</v>
      </c>
    </row>
    <row r="94" spans="1:2">
      <c r="A94" t="s">
        <v>71</v>
      </c>
    </row>
    <row r="95" spans="1:2">
      <c r="A95" t="s">
        <v>81</v>
      </c>
    </row>
    <row r="96" spans="1:2">
      <c r="A96" t="s">
        <v>84</v>
      </c>
    </row>
    <row r="97" spans="1:2">
      <c r="A97" t="s">
        <v>85</v>
      </c>
    </row>
    <row r="98" spans="1:2">
      <c r="A98" t="s">
        <v>90</v>
      </c>
    </row>
    <row r="99" spans="1:2">
      <c r="A99" t="s">
        <v>96</v>
      </c>
    </row>
    <row r="100" spans="1:2">
      <c r="A100" t="s">
        <v>98</v>
      </c>
    </row>
    <row r="101" spans="1:2">
      <c r="A101" t="s">
        <v>99</v>
      </c>
    </row>
    <row r="102" spans="1:2">
      <c r="A102" t="s">
        <v>104</v>
      </c>
    </row>
    <row r="103" spans="1:2">
      <c r="A103" t="s">
        <v>113</v>
      </c>
    </row>
    <row r="104" spans="1:2">
      <c r="A104" t="s">
        <v>145</v>
      </c>
    </row>
    <row r="105" spans="1:2">
      <c r="A105" s="17" t="s">
        <v>158</v>
      </c>
      <c r="B105" s="17"/>
    </row>
    <row r="106" spans="1:2">
      <c r="A106" t="s">
        <v>159</v>
      </c>
    </row>
    <row r="107" spans="1:2">
      <c r="A107" t="s">
        <v>167</v>
      </c>
    </row>
    <row r="108" spans="1:2">
      <c r="A108" t="s">
        <v>169</v>
      </c>
    </row>
    <row r="109" spans="1:2">
      <c r="A109" t="s">
        <v>170</v>
      </c>
    </row>
    <row r="110" spans="1:2">
      <c r="A110" t="s">
        <v>171</v>
      </c>
    </row>
    <row r="111" spans="1:2">
      <c r="A111" t="s">
        <v>172</v>
      </c>
    </row>
    <row r="112" spans="1:2">
      <c r="A112" t="s">
        <v>173</v>
      </c>
    </row>
    <row r="113" spans="1:1">
      <c r="A113" t="s">
        <v>174</v>
      </c>
    </row>
    <row r="114" spans="1:1">
      <c r="A114" t="s">
        <v>175</v>
      </c>
    </row>
    <row r="115" spans="1:1">
      <c r="A115" t="s">
        <v>176</v>
      </c>
    </row>
    <row r="116" spans="1:1">
      <c r="A116" t="s">
        <v>177</v>
      </c>
    </row>
    <row r="117" spans="1:1">
      <c r="A117" t="s">
        <v>178</v>
      </c>
    </row>
    <row r="118" spans="1:1">
      <c r="A118" t="s">
        <v>179</v>
      </c>
    </row>
  </sheetData>
  <autoFilter ref="A1:B118" xr:uid="{2AE535D8-F508-1E40-8173-7A831899F517}">
    <sortState xmlns:xlrd2="http://schemas.microsoft.com/office/spreadsheetml/2017/richdata2" ref="A2:B118">
      <sortCondition ref="B1:B118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53459-4C48-1546-9250-65E1806E4F96}">
  <dimension ref="A1:B118"/>
  <sheetViews>
    <sheetView workbookViewId="0">
      <selection activeCell="A42" sqref="A42:B42"/>
    </sheetView>
  </sheetViews>
  <sheetFormatPr baseColWidth="10" defaultRowHeight="15"/>
  <sheetData>
    <row r="1" spans="1:2">
      <c r="A1" s="1" t="s">
        <v>0</v>
      </c>
      <c r="B1" s="1">
        <v>2008</v>
      </c>
    </row>
    <row r="2" spans="1:2">
      <c r="A2" t="s">
        <v>120</v>
      </c>
      <c r="B2">
        <v>1.6</v>
      </c>
    </row>
    <row r="3" spans="1:2">
      <c r="A3" s="17" t="s">
        <v>141</v>
      </c>
      <c r="B3" s="17">
        <v>1.94</v>
      </c>
    </row>
    <row r="4" spans="1:2">
      <c r="A4" t="s">
        <v>133</v>
      </c>
      <c r="B4">
        <v>2</v>
      </c>
    </row>
    <row r="5" spans="1:2">
      <c r="A5" s="16" t="s">
        <v>130</v>
      </c>
      <c r="B5" s="16">
        <v>2.0499999999999998</v>
      </c>
    </row>
    <row r="6" spans="1:2">
      <c r="A6" s="16" t="s">
        <v>124</v>
      </c>
      <c r="B6" s="16">
        <v>2.56</v>
      </c>
    </row>
    <row r="7" spans="1:2">
      <c r="A7" s="17" t="s">
        <v>135</v>
      </c>
      <c r="B7" s="17">
        <v>2.95</v>
      </c>
    </row>
    <row r="8" spans="1:2">
      <c r="A8" t="s">
        <v>109</v>
      </c>
      <c r="B8">
        <v>3.65</v>
      </c>
    </row>
    <row r="9" spans="1:2">
      <c r="A9" s="17" t="s">
        <v>94</v>
      </c>
      <c r="B9" s="17">
        <v>3.88</v>
      </c>
    </row>
    <row r="10" spans="1:2">
      <c r="A10" t="s">
        <v>126</v>
      </c>
      <c r="B10">
        <v>5.05</v>
      </c>
    </row>
    <row r="11" spans="1:2">
      <c r="A11" t="s">
        <v>91</v>
      </c>
      <c r="B11">
        <v>5.0999999999999996</v>
      </c>
    </row>
    <row r="12" spans="1:2">
      <c r="A12" t="s">
        <v>122</v>
      </c>
      <c r="B12">
        <v>5.35</v>
      </c>
    </row>
    <row r="13" spans="1:2">
      <c r="A13" t="s">
        <v>101</v>
      </c>
      <c r="B13">
        <v>6.45</v>
      </c>
    </row>
    <row r="14" spans="1:2">
      <c r="A14" t="s">
        <v>127</v>
      </c>
      <c r="B14">
        <v>6.55</v>
      </c>
    </row>
    <row r="15" spans="1:2">
      <c r="A15" t="s">
        <v>95</v>
      </c>
      <c r="B15">
        <v>6.9</v>
      </c>
    </row>
    <row r="16" spans="1:2">
      <c r="A16" t="s">
        <v>146</v>
      </c>
      <c r="B16">
        <v>7.47</v>
      </c>
    </row>
    <row r="17" spans="1:2">
      <c r="A17" t="s">
        <v>106</v>
      </c>
      <c r="B17">
        <v>8.5</v>
      </c>
    </row>
    <row r="18" spans="1:2">
      <c r="A18" t="s">
        <v>92</v>
      </c>
      <c r="B18">
        <v>8.57</v>
      </c>
    </row>
    <row r="19" spans="1:2">
      <c r="A19" t="s">
        <v>82</v>
      </c>
      <c r="B19">
        <v>9.02</v>
      </c>
    </row>
    <row r="20" spans="1:2">
      <c r="A20" t="s">
        <v>93</v>
      </c>
      <c r="B20">
        <v>9.4499999999999993</v>
      </c>
    </row>
    <row r="21" spans="1:2">
      <c r="A21" t="s">
        <v>103</v>
      </c>
      <c r="B21">
        <v>10.97</v>
      </c>
    </row>
    <row r="22" spans="1:2">
      <c r="A22" t="s">
        <v>102</v>
      </c>
      <c r="B22">
        <v>11.13</v>
      </c>
    </row>
    <row r="23" spans="1:2">
      <c r="A23" t="s">
        <v>112</v>
      </c>
      <c r="B23">
        <v>11.5</v>
      </c>
    </row>
    <row r="24" spans="1:2">
      <c r="A24" t="s">
        <v>125</v>
      </c>
      <c r="B24">
        <v>12.25</v>
      </c>
    </row>
    <row r="25" spans="1:2">
      <c r="A25" t="s">
        <v>79</v>
      </c>
      <c r="B25">
        <v>12.65</v>
      </c>
    </row>
    <row r="26" spans="1:2">
      <c r="A26" t="s">
        <v>80</v>
      </c>
      <c r="B26">
        <v>13.15</v>
      </c>
    </row>
    <row r="27" spans="1:2">
      <c r="A27" t="s">
        <v>154</v>
      </c>
      <c r="B27">
        <v>13.17</v>
      </c>
    </row>
    <row r="28" spans="1:2">
      <c r="A28" t="s">
        <v>86</v>
      </c>
      <c r="B28">
        <v>13.44</v>
      </c>
    </row>
    <row r="29" spans="1:2">
      <c r="A29" t="s">
        <v>78</v>
      </c>
      <c r="B29">
        <v>13.55</v>
      </c>
    </row>
    <row r="30" spans="1:2">
      <c r="A30" t="s">
        <v>144</v>
      </c>
      <c r="B30">
        <v>13.6</v>
      </c>
    </row>
    <row r="31" spans="1:2">
      <c r="A31" t="s">
        <v>134</v>
      </c>
      <c r="B31">
        <v>13.78</v>
      </c>
    </row>
    <row r="32" spans="1:2">
      <c r="A32" t="s">
        <v>149</v>
      </c>
      <c r="B32">
        <v>14.44</v>
      </c>
    </row>
    <row r="33" spans="1:2">
      <c r="A33" t="s">
        <v>88</v>
      </c>
      <c r="B33">
        <v>16.95</v>
      </c>
    </row>
    <row r="34" spans="1:2">
      <c r="A34" t="s">
        <v>131</v>
      </c>
      <c r="B34">
        <v>17.98</v>
      </c>
    </row>
    <row r="35" spans="1:2">
      <c r="A35" t="s">
        <v>137</v>
      </c>
      <c r="B35">
        <v>19.66</v>
      </c>
    </row>
    <row r="36" spans="1:2">
      <c r="A36" t="s">
        <v>143</v>
      </c>
      <c r="B36">
        <v>20.149999999999999</v>
      </c>
    </row>
    <row r="37" spans="1:2">
      <c r="A37" t="s">
        <v>77</v>
      </c>
      <c r="B37">
        <v>21.62</v>
      </c>
    </row>
    <row r="38" spans="1:2">
      <c r="A38" t="s">
        <v>97</v>
      </c>
      <c r="B38">
        <v>24.05</v>
      </c>
    </row>
    <row r="39" spans="1:2">
      <c r="A39" t="s">
        <v>73</v>
      </c>
      <c r="B39">
        <v>25.15</v>
      </c>
    </row>
    <row r="40" spans="1:2">
      <c r="A40" t="s">
        <v>100</v>
      </c>
      <c r="B40">
        <v>26.97</v>
      </c>
    </row>
    <row r="41" spans="1:2">
      <c r="A41" t="s">
        <v>89</v>
      </c>
      <c r="B41">
        <v>27.33</v>
      </c>
    </row>
    <row r="42" spans="1:2">
      <c r="A42" t="s">
        <v>165</v>
      </c>
      <c r="B42">
        <v>29.06</v>
      </c>
    </row>
    <row r="43" spans="1:2">
      <c r="A43" t="s">
        <v>114</v>
      </c>
      <c r="B43">
        <v>29.8</v>
      </c>
    </row>
    <row r="44" spans="1:2">
      <c r="A44" t="s">
        <v>152</v>
      </c>
      <c r="B44">
        <v>30.99</v>
      </c>
    </row>
    <row r="45" spans="1:2">
      <c r="A45" t="s">
        <v>155</v>
      </c>
      <c r="B45">
        <v>32.22</v>
      </c>
    </row>
    <row r="46" spans="1:2">
      <c r="A46" t="s">
        <v>110</v>
      </c>
      <c r="B46">
        <v>35.340000000000003</v>
      </c>
    </row>
    <row r="47" spans="1:2">
      <c r="A47" t="s">
        <v>132</v>
      </c>
      <c r="B47">
        <v>38.020000000000003</v>
      </c>
    </row>
    <row r="48" spans="1:2">
      <c r="A48" t="s">
        <v>76</v>
      </c>
      <c r="B48">
        <v>39.31</v>
      </c>
    </row>
    <row r="49" spans="1:2">
      <c r="A49" t="s">
        <v>136</v>
      </c>
      <c r="B49">
        <v>39.86</v>
      </c>
    </row>
    <row r="50" spans="1:2">
      <c r="A50" t="s">
        <v>148</v>
      </c>
      <c r="B50">
        <v>40.549999999999997</v>
      </c>
    </row>
    <row r="51" spans="1:2">
      <c r="A51" t="s">
        <v>111</v>
      </c>
      <c r="B51">
        <v>41.4</v>
      </c>
    </row>
    <row r="52" spans="1:2">
      <c r="A52" t="s">
        <v>129</v>
      </c>
      <c r="B52">
        <v>43.67</v>
      </c>
    </row>
    <row r="53" spans="1:2">
      <c r="A53" t="s">
        <v>164</v>
      </c>
      <c r="B53">
        <v>45.3</v>
      </c>
    </row>
    <row r="54" spans="1:2">
      <c r="A54" t="s">
        <v>75</v>
      </c>
      <c r="B54">
        <v>46.97</v>
      </c>
    </row>
    <row r="55" spans="1:2">
      <c r="A55" t="s">
        <v>145</v>
      </c>
      <c r="B55">
        <v>50.3</v>
      </c>
    </row>
    <row r="56" spans="1:2">
      <c r="A56" t="s">
        <v>107</v>
      </c>
      <c r="B56">
        <v>52.65</v>
      </c>
    </row>
    <row r="57" spans="1:2">
      <c r="A57" t="s">
        <v>83</v>
      </c>
      <c r="B57">
        <v>56.05</v>
      </c>
    </row>
    <row r="58" spans="1:2">
      <c r="A58" t="s">
        <v>116</v>
      </c>
      <c r="B58">
        <v>57.4</v>
      </c>
    </row>
    <row r="59" spans="1:2">
      <c r="A59" t="s">
        <v>151</v>
      </c>
      <c r="B59">
        <v>57.65</v>
      </c>
    </row>
    <row r="60" spans="1:2">
      <c r="A60" t="s">
        <v>166</v>
      </c>
      <c r="B60">
        <v>57.9</v>
      </c>
    </row>
    <row r="61" spans="1:2">
      <c r="A61" t="s">
        <v>62</v>
      </c>
      <c r="B61">
        <v>61.1</v>
      </c>
    </row>
    <row r="62" spans="1:2">
      <c r="A62" t="s">
        <v>70</v>
      </c>
      <c r="B62">
        <v>61.76</v>
      </c>
    </row>
    <row r="63" spans="1:2">
      <c r="A63" t="s">
        <v>142</v>
      </c>
      <c r="B63">
        <v>70.06</v>
      </c>
    </row>
    <row r="64" spans="1:2">
      <c r="A64" t="s">
        <v>65</v>
      </c>
      <c r="B64">
        <v>74.05</v>
      </c>
    </row>
    <row r="65" spans="1:2">
      <c r="A65" t="s">
        <v>72</v>
      </c>
      <c r="B65">
        <v>74.23</v>
      </c>
    </row>
    <row r="66" spans="1:2">
      <c r="A66" t="s">
        <v>108</v>
      </c>
      <c r="B66">
        <v>75.55</v>
      </c>
    </row>
    <row r="67" spans="1:2">
      <c r="A67" t="s">
        <v>64</v>
      </c>
      <c r="B67">
        <v>77.7</v>
      </c>
    </row>
    <row r="68" spans="1:2">
      <c r="A68" t="s">
        <v>153</v>
      </c>
      <c r="B68">
        <v>77.78</v>
      </c>
    </row>
    <row r="69" spans="1:2">
      <c r="A69" t="s">
        <v>69</v>
      </c>
      <c r="B69">
        <v>78.89</v>
      </c>
    </row>
    <row r="70" spans="1:2">
      <c r="A70" t="s">
        <v>156</v>
      </c>
      <c r="B70">
        <v>82.2</v>
      </c>
    </row>
    <row r="71" spans="1:2">
      <c r="A71" t="s">
        <v>138</v>
      </c>
      <c r="B71">
        <v>93.83</v>
      </c>
    </row>
    <row r="72" spans="1:2">
      <c r="A72" s="11" t="s">
        <v>162</v>
      </c>
      <c r="B72" s="11">
        <v>99.5</v>
      </c>
    </row>
    <row r="73" spans="1:2">
      <c r="A73" t="s">
        <v>128</v>
      </c>
      <c r="B73">
        <v>100.3</v>
      </c>
    </row>
    <row r="74" spans="1:2">
      <c r="A74" t="s">
        <v>147</v>
      </c>
      <c r="B74">
        <v>115.96</v>
      </c>
    </row>
    <row r="75" spans="1:2">
      <c r="A75" s="11" t="s">
        <v>150</v>
      </c>
      <c r="B75" s="11">
        <v>116.42</v>
      </c>
    </row>
    <row r="76" spans="1:2">
      <c r="A76" s="11" t="s">
        <v>140</v>
      </c>
      <c r="B76" s="11">
        <v>116.91</v>
      </c>
    </row>
    <row r="77" spans="1:2">
      <c r="A77" s="17" t="s">
        <v>158</v>
      </c>
      <c r="B77" s="17">
        <v>119.45</v>
      </c>
    </row>
    <row r="78" spans="1:2">
      <c r="A78" s="11" t="s">
        <v>163</v>
      </c>
      <c r="B78" s="11">
        <v>146.54</v>
      </c>
    </row>
    <row r="79" spans="1:2">
      <c r="A79" s="17" t="s">
        <v>157</v>
      </c>
      <c r="B79" s="17">
        <v>153.03</v>
      </c>
    </row>
    <row r="80" spans="1:2">
      <c r="A80" s="11" t="s">
        <v>161</v>
      </c>
      <c r="B80" s="11">
        <v>164.88</v>
      </c>
    </row>
    <row r="81" spans="1:2">
      <c r="A81" s="15" t="s">
        <v>67</v>
      </c>
      <c r="B81" s="15">
        <v>205.4</v>
      </c>
    </row>
    <row r="82" spans="1:2">
      <c r="A82" s="15" t="s">
        <v>66</v>
      </c>
      <c r="B82" s="15">
        <v>207.4</v>
      </c>
    </row>
    <row r="83" spans="1:2">
      <c r="A83" t="s">
        <v>68</v>
      </c>
    </row>
    <row r="84" spans="1:2">
      <c r="A84" t="s">
        <v>71</v>
      </c>
    </row>
    <row r="85" spans="1:2">
      <c r="A85" t="s">
        <v>74</v>
      </c>
    </row>
    <row r="86" spans="1:2">
      <c r="A86" t="s">
        <v>81</v>
      </c>
    </row>
    <row r="87" spans="1:2">
      <c r="A87" t="s">
        <v>84</v>
      </c>
    </row>
    <row r="88" spans="1:2">
      <c r="A88" t="s">
        <v>85</v>
      </c>
    </row>
    <row r="89" spans="1:2">
      <c r="A89" t="s">
        <v>87</v>
      </c>
    </row>
    <row r="90" spans="1:2">
      <c r="A90" t="s">
        <v>90</v>
      </c>
    </row>
    <row r="91" spans="1:2">
      <c r="A91" t="s">
        <v>96</v>
      </c>
    </row>
    <row r="92" spans="1:2">
      <c r="A92" t="s">
        <v>98</v>
      </c>
    </row>
    <row r="93" spans="1:2">
      <c r="A93" t="s">
        <v>99</v>
      </c>
    </row>
    <row r="94" spans="1:2">
      <c r="A94" t="s">
        <v>104</v>
      </c>
    </row>
    <row r="95" spans="1:2">
      <c r="A95" s="11" t="s">
        <v>105</v>
      </c>
      <c r="B95" s="11"/>
    </row>
    <row r="96" spans="1:2">
      <c r="A96" t="s">
        <v>113</v>
      </c>
    </row>
    <row r="97" spans="1:2">
      <c r="A97" t="s">
        <v>115</v>
      </c>
    </row>
    <row r="98" spans="1:2">
      <c r="A98" t="s">
        <v>117</v>
      </c>
    </row>
    <row r="99" spans="1:2">
      <c r="A99" t="s">
        <v>118</v>
      </c>
    </row>
    <row r="100" spans="1:2">
      <c r="A100" t="s">
        <v>119</v>
      </c>
    </row>
    <row r="101" spans="1:2">
      <c r="A101" t="s">
        <v>121</v>
      </c>
    </row>
    <row r="102" spans="1:2">
      <c r="A102" s="11" t="s">
        <v>123</v>
      </c>
      <c r="B102" s="11"/>
    </row>
    <row r="103" spans="1:2">
      <c r="A103" t="s">
        <v>139</v>
      </c>
    </row>
    <row r="104" spans="1:2">
      <c r="A104" t="s">
        <v>159</v>
      </c>
    </row>
    <row r="105" spans="1:2">
      <c r="A105" t="s">
        <v>160</v>
      </c>
    </row>
    <row r="106" spans="1:2">
      <c r="A106" t="s">
        <v>167</v>
      </c>
    </row>
    <row r="107" spans="1:2">
      <c r="A107" t="s">
        <v>168</v>
      </c>
    </row>
    <row r="108" spans="1:2">
      <c r="A108" t="s">
        <v>169</v>
      </c>
    </row>
    <row r="109" spans="1:2">
      <c r="A109" t="s">
        <v>170</v>
      </c>
    </row>
    <row r="110" spans="1:2">
      <c r="A110" t="s">
        <v>171</v>
      </c>
    </row>
    <row r="111" spans="1:2">
      <c r="A111" t="s">
        <v>172</v>
      </c>
    </row>
    <row r="112" spans="1:2">
      <c r="A112" t="s">
        <v>173</v>
      </c>
    </row>
    <row r="113" spans="1:1">
      <c r="A113" t="s">
        <v>174</v>
      </c>
    </row>
    <row r="114" spans="1:1">
      <c r="A114" t="s">
        <v>175</v>
      </c>
    </row>
    <row r="115" spans="1:1">
      <c r="A115" t="s">
        <v>176</v>
      </c>
    </row>
    <row r="116" spans="1:1">
      <c r="A116" t="s">
        <v>177</v>
      </c>
    </row>
    <row r="117" spans="1:1">
      <c r="A117" t="s">
        <v>178</v>
      </c>
    </row>
    <row r="118" spans="1:1">
      <c r="A118" t="s">
        <v>179</v>
      </c>
    </row>
  </sheetData>
  <autoFilter ref="A1:B118" xr:uid="{24153459-4C48-1546-9250-65E1806E4F96}">
    <sortState xmlns:xlrd2="http://schemas.microsoft.com/office/spreadsheetml/2017/richdata2" ref="A2:B118">
      <sortCondition ref="B1:B118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C3AD5-EBB3-FD44-8854-7DF446329E4F}">
  <dimension ref="A1:B118"/>
  <sheetViews>
    <sheetView topLeftCell="A14" workbookViewId="0">
      <selection activeCell="A36" sqref="A36:B36"/>
    </sheetView>
  </sheetViews>
  <sheetFormatPr baseColWidth="10" defaultRowHeight="15"/>
  <sheetData>
    <row r="1" spans="1:2">
      <c r="A1" s="1" t="s">
        <v>0</v>
      </c>
      <c r="B1" s="1">
        <v>2013</v>
      </c>
    </row>
    <row r="2" spans="1:2">
      <c r="A2" t="s">
        <v>124</v>
      </c>
      <c r="B2">
        <v>1.1499999999999999</v>
      </c>
    </row>
    <row r="3" spans="1:2">
      <c r="A3" s="17" t="s">
        <v>141</v>
      </c>
      <c r="B3" s="17">
        <v>1.8</v>
      </c>
    </row>
    <row r="4" spans="1:2">
      <c r="A4" s="17" t="s">
        <v>130</v>
      </c>
      <c r="B4" s="17">
        <v>2</v>
      </c>
    </row>
    <row r="5" spans="1:2">
      <c r="A5" s="16" t="s">
        <v>120</v>
      </c>
      <c r="B5" s="16">
        <v>2.0099999999999998</v>
      </c>
    </row>
    <row r="6" spans="1:2">
      <c r="A6" s="16" t="s">
        <v>135</v>
      </c>
      <c r="B6" s="16">
        <v>2.0699999999999998</v>
      </c>
    </row>
    <row r="7" spans="1:2">
      <c r="A7" t="s">
        <v>109</v>
      </c>
      <c r="B7">
        <v>3.4</v>
      </c>
    </row>
    <row r="8" spans="1:2">
      <c r="A8" t="s">
        <v>91</v>
      </c>
      <c r="B8">
        <v>4.55</v>
      </c>
    </row>
    <row r="9" spans="1:2">
      <c r="A9" t="s">
        <v>126</v>
      </c>
      <c r="B9">
        <v>5.0999999999999996</v>
      </c>
    </row>
    <row r="10" spans="1:2">
      <c r="A10" t="s">
        <v>101</v>
      </c>
      <c r="B10">
        <v>5.7</v>
      </c>
    </row>
    <row r="11" spans="1:2">
      <c r="A11" t="s">
        <v>95</v>
      </c>
      <c r="B11">
        <v>6.9</v>
      </c>
    </row>
    <row r="12" spans="1:2">
      <c r="A12" t="s">
        <v>127</v>
      </c>
      <c r="B12">
        <v>7</v>
      </c>
    </row>
    <row r="13" spans="1:2">
      <c r="A13" t="s">
        <v>146</v>
      </c>
      <c r="B13">
        <v>7.5</v>
      </c>
    </row>
    <row r="14" spans="1:2">
      <c r="A14" t="s">
        <v>93</v>
      </c>
      <c r="B14">
        <v>7.9</v>
      </c>
    </row>
    <row r="15" spans="1:2">
      <c r="A15" t="s">
        <v>92</v>
      </c>
      <c r="B15">
        <v>8.0500000000000007</v>
      </c>
    </row>
    <row r="16" spans="1:2">
      <c r="A16" t="s">
        <v>103</v>
      </c>
      <c r="B16">
        <v>10.73</v>
      </c>
    </row>
    <row r="17" spans="1:2">
      <c r="A17" t="s">
        <v>144</v>
      </c>
      <c r="B17">
        <v>11.7</v>
      </c>
    </row>
    <row r="18" spans="1:2">
      <c r="A18" t="s">
        <v>112</v>
      </c>
      <c r="B18">
        <v>12.15</v>
      </c>
    </row>
    <row r="19" spans="1:2">
      <c r="A19" t="s">
        <v>102</v>
      </c>
      <c r="B19">
        <v>12.2</v>
      </c>
    </row>
    <row r="20" spans="1:2">
      <c r="A20" t="s">
        <v>79</v>
      </c>
      <c r="B20">
        <v>12.75</v>
      </c>
    </row>
    <row r="21" spans="1:2">
      <c r="A21" t="s">
        <v>125</v>
      </c>
      <c r="B21">
        <v>13.18</v>
      </c>
    </row>
    <row r="22" spans="1:2">
      <c r="A22" t="s">
        <v>78</v>
      </c>
      <c r="B22">
        <v>13.7</v>
      </c>
    </row>
    <row r="23" spans="1:2">
      <c r="A23" t="s">
        <v>149</v>
      </c>
      <c r="B23">
        <v>13.7</v>
      </c>
    </row>
    <row r="24" spans="1:2">
      <c r="A24" t="s">
        <v>154</v>
      </c>
      <c r="B24">
        <v>13.76</v>
      </c>
    </row>
    <row r="25" spans="1:2">
      <c r="A25" t="s">
        <v>134</v>
      </c>
      <c r="B25">
        <v>13.81</v>
      </c>
    </row>
    <row r="26" spans="1:2">
      <c r="A26" t="s">
        <v>86</v>
      </c>
      <c r="B26">
        <v>14.16</v>
      </c>
    </row>
    <row r="27" spans="1:2">
      <c r="A27" t="s">
        <v>80</v>
      </c>
      <c r="B27">
        <v>16.100000000000001</v>
      </c>
    </row>
    <row r="28" spans="1:2">
      <c r="A28" t="s">
        <v>88</v>
      </c>
      <c r="B28">
        <v>18.149999999999999</v>
      </c>
    </row>
    <row r="29" spans="1:2">
      <c r="A29" t="s">
        <v>131</v>
      </c>
      <c r="B29">
        <v>18.8</v>
      </c>
    </row>
    <row r="30" spans="1:2">
      <c r="A30" t="s">
        <v>77</v>
      </c>
      <c r="B30">
        <v>21.78</v>
      </c>
    </row>
    <row r="31" spans="1:2">
      <c r="A31" t="s">
        <v>82</v>
      </c>
      <c r="B31">
        <v>22.4</v>
      </c>
    </row>
    <row r="32" spans="1:2">
      <c r="A32" t="s">
        <v>97</v>
      </c>
      <c r="B32">
        <v>26.4</v>
      </c>
    </row>
    <row r="33" spans="1:2">
      <c r="A33" t="s">
        <v>100</v>
      </c>
      <c r="B33">
        <v>27.15</v>
      </c>
    </row>
    <row r="34" spans="1:2">
      <c r="A34" t="s">
        <v>89</v>
      </c>
      <c r="B34">
        <v>27.7</v>
      </c>
    </row>
    <row r="35" spans="1:2">
      <c r="A35" t="s">
        <v>73</v>
      </c>
      <c r="B35">
        <v>29.2</v>
      </c>
    </row>
    <row r="36" spans="1:2">
      <c r="A36" t="s">
        <v>152</v>
      </c>
      <c r="B36">
        <v>30.47</v>
      </c>
    </row>
    <row r="37" spans="1:2">
      <c r="A37" t="s">
        <v>114</v>
      </c>
      <c r="B37">
        <v>30.7</v>
      </c>
    </row>
    <row r="38" spans="1:2">
      <c r="A38" t="s">
        <v>165</v>
      </c>
      <c r="B38">
        <v>34.81</v>
      </c>
    </row>
    <row r="39" spans="1:2">
      <c r="A39" t="s">
        <v>155</v>
      </c>
      <c r="B39">
        <v>37.5</v>
      </c>
    </row>
    <row r="40" spans="1:2">
      <c r="A40" t="s">
        <v>148</v>
      </c>
      <c r="B40">
        <v>38.119999999999997</v>
      </c>
    </row>
    <row r="41" spans="1:2">
      <c r="A41" t="s">
        <v>164</v>
      </c>
      <c r="B41">
        <v>40</v>
      </c>
    </row>
    <row r="42" spans="1:2">
      <c r="A42" t="s">
        <v>76</v>
      </c>
      <c r="B42">
        <v>40.090000000000003</v>
      </c>
    </row>
    <row r="43" spans="1:2">
      <c r="A43" t="s">
        <v>132</v>
      </c>
      <c r="B43">
        <v>40.74</v>
      </c>
    </row>
    <row r="44" spans="1:2">
      <c r="A44" t="s">
        <v>136</v>
      </c>
      <c r="B44">
        <v>40.799999999999997</v>
      </c>
    </row>
    <row r="45" spans="1:2">
      <c r="A45" t="s">
        <v>75</v>
      </c>
      <c r="B45">
        <v>47.21</v>
      </c>
    </row>
    <row r="46" spans="1:2">
      <c r="A46" t="s">
        <v>107</v>
      </c>
      <c r="B46">
        <v>53.41</v>
      </c>
    </row>
    <row r="47" spans="1:2">
      <c r="A47" t="s">
        <v>83</v>
      </c>
      <c r="B47">
        <v>56.15</v>
      </c>
    </row>
    <row r="48" spans="1:2">
      <c r="A48" t="s">
        <v>151</v>
      </c>
      <c r="B48">
        <v>57.9</v>
      </c>
    </row>
    <row r="49" spans="1:2">
      <c r="A49" t="s">
        <v>116</v>
      </c>
      <c r="B49">
        <v>59.13</v>
      </c>
    </row>
    <row r="50" spans="1:2">
      <c r="A50" t="s">
        <v>62</v>
      </c>
      <c r="B50">
        <v>60.41</v>
      </c>
    </row>
    <row r="51" spans="1:2">
      <c r="A51" t="s">
        <v>70</v>
      </c>
      <c r="B51">
        <v>61.88</v>
      </c>
    </row>
    <row r="52" spans="1:2">
      <c r="A52" t="s">
        <v>166</v>
      </c>
      <c r="B52">
        <v>64.5</v>
      </c>
    </row>
    <row r="53" spans="1:2">
      <c r="A53" t="s">
        <v>145</v>
      </c>
      <c r="B53">
        <v>67</v>
      </c>
    </row>
    <row r="54" spans="1:2">
      <c r="A54" t="s">
        <v>65</v>
      </c>
      <c r="B54">
        <v>69.7</v>
      </c>
    </row>
    <row r="55" spans="1:2">
      <c r="A55" t="s">
        <v>142</v>
      </c>
      <c r="B55">
        <v>69.81</v>
      </c>
    </row>
    <row r="56" spans="1:2">
      <c r="A56" t="s">
        <v>64</v>
      </c>
      <c r="B56">
        <v>75.75</v>
      </c>
    </row>
    <row r="57" spans="1:2">
      <c r="A57" t="s">
        <v>108</v>
      </c>
      <c r="B57">
        <v>77.2</v>
      </c>
    </row>
    <row r="58" spans="1:2">
      <c r="A58" t="s">
        <v>156</v>
      </c>
      <c r="B58">
        <v>78.599999999999994</v>
      </c>
    </row>
    <row r="59" spans="1:2">
      <c r="A59" t="s">
        <v>153</v>
      </c>
      <c r="B59">
        <v>79.12</v>
      </c>
    </row>
    <row r="60" spans="1:2">
      <c r="A60" t="s">
        <v>69</v>
      </c>
      <c r="B60">
        <v>79.61</v>
      </c>
    </row>
    <row r="61" spans="1:2">
      <c r="A61" t="s">
        <v>128</v>
      </c>
      <c r="B61">
        <v>100.55</v>
      </c>
    </row>
    <row r="62" spans="1:2">
      <c r="A62" s="11" t="s">
        <v>162</v>
      </c>
      <c r="B62" s="11">
        <v>110.05</v>
      </c>
    </row>
    <row r="63" spans="1:2">
      <c r="A63" t="s">
        <v>138</v>
      </c>
      <c r="B63">
        <v>112.21</v>
      </c>
    </row>
    <row r="64" spans="1:2">
      <c r="A64" s="11" t="s">
        <v>150</v>
      </c>
      <c r="B64" s="11">
        <v>116.5</v>
      </c>
    </row>
    <row r="65" spans="1:2">
      <c r="A65" s="11" t="s">
        <v>140</v>
      </c>
      <c r="B65" s="11">
        <v>117.3</v>
      </c>
    </row>
    <row r="66" spans="1:2">
      <c r="A66" s="17" t="s">
        <v>158</v>
      </c>
      <c r="B66" s="17">
        <v>119.5</v>
      </c>
    </row>
    <row r="67" spans="1:2">
      <c r="A67" s="17" t="s">
        <v>157</v>
      </c>
      <c r="B67" s="17">
        <v>153.15</v>
      </c>
    </row>
    <row r="68" spans="1:2">
      <c r="A68" s="11" t="s">
        <v>161</v>
      </c>
      <c r="B68" s="11">
        <v>169.12</v>
      </c>
    </row>
    <row r="69" spans="1:2">
      <c r="A69" s="15" t="s">
        <v>67</v>
      </c>
      <c r="B69" s="15">
        <v>200</v>
      </c>
    </row>
    <row r="70" spans="1:2">
      <c r="A70" s="15" t="s">
        <v>66</v>
      </c>
      <c r="B70" s="15">
        <v>207.5</v>
      </c>
    </row>
    <row r="71" spans="1:2">
      <c r="A71" t="s">
        <v>68</v>
      </c>
    </row>
    <row r="72" spans="1:2">
      <c r="A72" t="s">
        <v>71</v>
      </c>
    </row>
    <row r="73" spans="1:2">
      <c r="A73" t="s">
        <v>72</v>
      </c>
    </row>
    <row r="74" spans="1:2">
      <c r="A74" t="s">
        <v>74</v>
      </c>
    </row>
    <row r="75" spans="1:2">
      <c r="A75" t="s">
        <v>81</v>
      </c>
    </row>
    <row r="76" spans="1:2">
      <c r="A76" t="s">
        <v>84</v>
      </c>
    </row>
    <row r="77" spans="1:2">
      <c r="A77" t="s">
        <v>85</v>
      </c>
    </row>
    <row r="78" spans="1:2">
      <c r="A78" t="s">
        <v>87</v>
      </c>
    </row>
    <row r="79" spans="1:2">
      <c r="A79" t="s">
        <v>90</v>
      </c>
    </row>
    <row r="80" spans="1:2">
      <c r="A80" s="17" t="s">
        <v>94</v>
      </c>
      <c r="B80" s="17"/>
    </row>
    <row r="81" spans="1:2">
      <c r="A81" t="s">
        <v>96</v>
      </c>
    </row>
    <row r="82" spans="1:2">
      <c r="A82" t="s">
        <v>98</v>
      </c>
    </row>
    <row r="83" spans="1:2">
      <c r="A83" t="s">
        <v>99</v>
      </c>
    </row>
    <row r="84" spans="1:2">
      <c r="A84" t="s">
        <v>104</v>
      </c>
    </row>
    <row r="85" spans="1:2">
      <c r="A85" s="11" t="s">
        <v>105</v>
      </c>
      <c r="B85" s="11"/>
    </row>
    <row r="86" spans="1:2">
      <c r="A86" t="s">
        <v>106</v>
      </c>
    </row>
    <row r="87" spans="1:2">
      <c r="A87" t="s">
        <v>110</v>
      </c>
    </row>
    <row r="88" spans="1:2">
      <c r="A88" t="s">
        <v>111</v>
      </c>
    </row>
    <row r="89" spans="1:2">
      <c r="A89" t="s">
        <v>113</v>
      </c>
    </row>
    <row r="90" spans="1:2">
      <c r="A90" t="s">
        <v>115</v>
      </c>
    </row>
    <row r="91" spans="1:2">
      <c r="A91" t="s">
        <v>117</v>
      </c>
    </row>
    <row r="92" spans="1:2">
      <c r="A92" t="s">
        <v>118</v>
      </c>
    </row>
    <row r="93" spans="1:2">
      <c r="A93" t="s">
        <v>119</v>
      </c>
    </row>
    <row r="94" spans="1:2">
      <c r="A94" t="s">
        <v>121</v>
      </c>
    </row>
    <row r="95" spans="1:2">
      <c r="A95" t="s">
        <v>122</v>
      </c>
    </row>
    <row r="96" spans="1:2">
      <c r="A96" s="11" t="s">
        <v>123</v>
      </c>
      <c r="B96" s="11"/>
    </row>
    <row r="97" spans="1:2">
      <c r="A97" t="s">
        <v>129</v>
      </c>
    </row>
    <row r="98" spans="1:2">
      <c r="A98" t="s">
        <v>133</v>
      </c>
    </row>
    <row r="99" spans="1:2">
      <c r="A99" t="s">
        <v>137</v>
      </c>
    </row>
    <row r="100" spans="1:2">
      <c r="A100" t="s">
        <v>139</v>
      </c>
    </row>
    <row r="101" spans="1:2">
      <c r="A101" t="s">
        <v>143</v>
      </c>
    </row>
    <row r="102" spans="1:2">
      <c r="A102" t="s">
        <v>147</v>
      </c>
    </row>
    <row r="103" spans="1:2">
      <c r="A103" t="s">
        <v>159</v>
      </c>
    </row>
    <row r="104" spans="1:2">
      <c r="A104" t="s">
        <v>160</v>
      </c>
    </row>
    <row r="105" spans="1:2">
      <c r="A105" s="11" t="s">
        <v>163</v>
      </c>
      <c r="B105" s="11"/>
    </row>
    <row r="106" spans="1:2">
      <c r="A106" t="s">
        <v>167</v>
      </c>
    </row>
    <row r="107" spans="1:2">
      <c r="A107" t="s">
        <v>168</v>
      </c>
    </row>
    <row r="108" spans="1:2">
      <c r="A108" t="s">
        <v>169</v>
      </c>
    </row>
    <row r="109" spans="1:2">
      <c r="A109" t="s">
        <v>170</v>
      </c>
    </row>
    <row r="110" spans="1:2">
      <c r="A110" t="s">
        <v>171</v>
      </c>
    </row>
    <row r="111" spans="1:2">
      <c r="A111" t="s">
        <v>172</v>
      </c>
    </row>
    <row r="112" spans="1:2">
      <c r="A112" t="s">
        <v>173</v>
      </c>
    </row>
    <row r="113" spans="1:1">
      <c r="A113" t="s">
        <v>174</v>
      </c>
    </row>
    <row r="114" spans="1:1">
      <c r="A114" t="s">
        <v>175</v>
      </c>
    </row>
    <row r="115" spans="1:1">
      <c r="A115" t="s">
        <v>176</v>
      </c>
    </row>
    <row r="116" spans="1:1">
      <c r="A116" t="s">
        <v>177</v>
      </c>
    </row>
    <row r="117" spans="1:1">
      <c r="A117" t="s">
        <v>178</v>
      </c>
    </row>
    <row r="118" spans="1:1">
      <c r="A118" t="s">
        <v>179</v>
      </c>
    </row>
  </sheetData>
  <autoFilter ref="A1:B118" xr:uid="{8A9C3AD5-EBB3-FD44-8854-7DF446329E4F}">
    <sortState xmlns:xlrd2="http://schemas.microsoft.com/office/spreadsheetml/2017/richdata2" ref="A2:B118">
      <sortCondition ref="B1:B118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0D41-32BD-894B-9D38-1736EF9E1313}">
  <dimension ref="A1:B118"/>
  <sheetViews>
    <sheetView workbookViewId="0">
      <selection activeCell="A30" sqref="A30:B30"/>
    </sheetView>
  </sheetViews>
  <sheetFormatPr baseColWidth="10" defaultRowHeight="15"/>
  <sheetData>
    <row r="1" spans="1:2">
      <c r="A1" s="1" t="s">
        <v>0</v>
      </c>
      <c r="B1" s="1">
        <v>2022</v>
      </c>
    </row>
    <row r="2" spans="1:2">
      <c r="A2" t="s">
        <v>120</v>
      </c>
      <c r="B2">
        <v>2</v>
      </c>
    </row>
    <row r="3" spans="1:2">
      <c r="A3" s="17" t="s">
        <v>130</v>
      </c>
      <c r="B3" s="17">
        <v>2</v>
      </c>
    </row>
    <row r="4" spans="1:2">
      <c r="A4" s="17" t="s">
        <v>135</v>
      </c>
      <c r="B4" s="17">
        <v>2</v>
      </c>
    </row>
    <row r="5" spans="1:2">
      <c r="A5" s="16" t="s">
        <v>109</v>
      </c>
      <c r="B5" s="16">
        <v>3.63</v>
      </c>
    </row>
    <row r="6" spans="1:2">
      <c r="A6" s="16" t="s">
        <v>101</v>
      </c>
      <c r="B6" s="16">
        <v>4.13</v>
      </c>
    </row>
    <row r="7" spans="1:2">
      <c r="A7" t="s">
        <v>106</v>
      </c>
      <c r="B7">
        <v>6.14</v>
      </c>
    </row>
    <row r="8" spans="1:2">
      <c r="A8" t="s">
        <v>127</v>
      </c>
      <c r="B8">
        <v>7</v>
      </c>
    </row>
    <row r="9" spans="1:2">
      <c r="A9" t="s">
        <v>92</v>
      </c>
      <c r="B9">
        <v>9</v>
      </c>
    </row>
    <row r="10" spans="1:2">
      <c r="A10" t="s">
        <v>103</v>
      </c>
      <c r="B10">
        <v>10.1</v>
      </c>
    </row>
    <row r="11" spans="1:2">
      <c r="A11" t="s">
        <v>98</v>
      </c>
      <c r="B11">
        <v>13.8</v>
      </c>
    </row>
    <row r="12" spans="1:2">
      <c r="A12" t="s">
        <v>91</v>
      </c>
      <c r="B12">
        <v>15</v>
      </c>
    </row>
    <row r="13" spans="1:2">
      <c r="A13" t="s">
        <v>126</v>
      </c>
      <c r="B13">
        <v>15</v>
      </c>
    </row>
    <row r="14" spans="1:2">
      <c r="A14" t="s">
        <v>86</v>
      </c>
      <c r="B14">
        <v>16</v>
      </c>
    </row>
    <row r="15" spans="1:2">
      <c r="A15" t="s">
        <v>80</v>
      </c>
      <c r="B15">
        <v>18</v>
      </c>
    </row>
    <row r="16" spans="1:2">
      <c r="A16" t="s">
        <v>88</v>
      </c>
      <c r="B16">
        <v>19</v>
      </c>
    </row>
    <row r="17" spans="1:2">
      <c r="A17" t="s">
        <v>95</v>
      </c>
      <c r="B17">
        <v>21</v>
      </c>
    </row>
    <row r="18" spans="1:2">
      <c r="A18" t="s">
        <v>144</v>
      </c>
      <c r="B18">
        <v>22</v>
      </c>
    </row>
    <row r="19" spans="1:2">
      <c r="A19" t="s">
        <v>131</v>
      </c>
      <c r="B19">
        <v>25</v>
      </c>
    </row>
    <row r="20" spans="1:2">
      <c r="A20" t="s">
        <v>112</v>
      </c>
      <c r="B20">
        <v>26</v>
      </c>
    </row>
    <row r="21" spans="1:2">
      <c r="A21" t="s">
        <v>100</v>
      </c>
      <c r="B21">
        <v>28</v>
      </c>
    </row>
    <row r="22" spans="1:2">
      <c r="A22" t="s">
        <v>82</v>
      </c>
      <c r="B22">
        <v>30</v>
      </c>
    </row>
    <row r="23" spans="1:2">
      <c r="A23" t="s">
        <v>125</v>
      </c>
      <c r="B23">
        <v>30</v>
      </c>
    </row>
    <row r="24" spans="1:2">
      <c r="A24" t="s">
        <v>97</v>
      </c>
      <c r="B24">
        <v>33.1</v>
      </c>
    </row>
    <row r="25" spans="1:2">
      <c r="A25" t="s">
        <v>171</v>
      </c>
      <c r="B25">
        <v>33.11</v>
      </c>
    </row>
    <row r="26" spans="1:2">
      <c r="A26" t="s">
        <v>90</v>
      </c>
      <c r="B26">
        <v>34.020000000000003</v>
      </c>
    </row>
    <row r="27" spans="1:2">
      <c r="A27" t="s">
        <v>165</v>
      </c>
      <c r="B27">
        <v>34.26</v>
      </c>
    </row>
    <row r="28" spans="1:2">
      <c r="A28" t="s">
        <v>143</v>
      </c>
      <c r="B28">
        <v>35</v>
      </c>
    </row>
    <row r="29" spans="1:2">
      <c r="A29" t="s">
        <v>114</v>
      </c>
      <c r="B29">
        <v>36</v>
      </c>
    </row>
    <row r="30" spans="1:2">
      <c r="A30" t="s">
        <v>170</v>
      </c>
      <c r="B30">
        <v>36.270000000000003</v>
      </c>
    </row>
    <row r="31" spans="1:2">
      <c r="A31" t="s">
        <v>176</v>
      </c>
      <c r="B31">
        <v>36.56</v>
      </c>
    </row>
    <row r="32" spans="1:2">
      <c r="A32" t="s">
        <v>173</v>
      </c>
      <c r="B32">
        <v>38.5</v>
      </c>
    </row>
    <row r="33" spans="1:2">
      <c r="A33" t="s">
        <v>73</v>
      </c>
      <c r="B33">
        <v>40</v>
      </c>
    </row>
    <row r="34" spans="1:2">
      <c r="A34" t="s">
        <v>132</v>
      </c>
      <c r="B34">
        <v>40</v>
      </c>
    </row>
    <row r="35" spans="1:2">
      <c r="A35" t="s">
        <v>148</v>
      </c>
      <c r="B35">
        <v>41</v>
      </c>
    </row>
    <row r="36" spans="1:2">
      <c r="A36" t="s">
        <v>175</v>
      </c>
      <c r="B36">
        <v>45.34</v>
      </c>
    </row>
    <row r="37" spans="1:2">
      <c r="A37" t="s">
        <v>129</v>
      </c>
      <c r="B37">
        <v>47</v>
      </c>
    </row>
    <row r="38" spans="1:2">
      <c r="A38" t="s">
        <v>111</v>
      </c>
      <c r="B38">
        <v>47.3</v>
      </c>
    </row>
    <row r="39" spans="1:2">
      <c r="A39" t="s">
        <v>75</v>
      </c>
      <c r="B39">
        <v>49.63</v>
      </c>
    </row>
    <row r="40" spans="1:2">
      <c r="A40" t="s">
        <v>136</v>
      </c>
      <c r="B40">
        <v>50</v>
      </c>
    </row>
    <row r="41" spans="1:2">
      <c r="A41" t="s">
        <v>87</v>
      </c>
      <c r="B41">
        <v>54</v>
      </c>
    </row>
    <row r="42" spans="1:2">
      <c r="A42" t="s">
        <v>145</v>
      </c>
      <c r="B42">
        <v>55</v>
      </c>
    </row>
    <row r="43" spans="1:2">
      <c r="A43" t="s">
        <v>110</v>
      </c>
      <c r="B43">
        <v>57</v>
      </c>
    </row>
    <row r="44" spans="1:2">
      <c r="A44" t="s">
        <v>76</v>
      </c>
      <c r="B44">
        <v>60</v>
      </c>
    </row>
    <row r="45" spans="1:2">
      <c r="A45" t="s">
        <v>84</v>
      </c>
      <c r="B45">
        <v>63.2</v>
      </c>
    </row>
    <row r="46" spans="1:2">
      <c r="A46" t="s">
        <v>139</v>
      </c>
      <c r="B46">
        <v>64</v>
      </c>
    </row>
    <row r="47" spans="1:2">
      <c r="A47" t="s">
        <v>62</v>
      </c>
      <c r="B47">
        <v>65</v>
      </c>
    </row>
    <row r="48" spans="1:2">
      <c r="A48" t="s">
        <v>142</v>
      </c>
      <c r="B48">
        <v>69</v>
      </c>
    </row>
    <row r="49" spans="1:2">
      <c r="A49" t="s">
        <v>65</v>
      </c>
      <c r="B49">
        <v>78</v>
      </c>
    </row>
    <row r="50" spans="1:2">
      <c r="A50" t="s">
        <v>64</v>
      </c>
      <c r="B50">
        <v>82</v>
      </c>
    </row>
    <row r="51" spans="1:2">
      <c r="A51" t="s">
        <v>108</v>
      </c>
      <c r="B51">
        <v>90</v>
      </c>
    </row>
    <row r="52" spans="1:2">
      <c r="A52" t="s">
        <v>153</v>
      </c>
      <c r="B52">
        <v>90</v>
      </c>
    </row>
    <row r="53" spans="1:2">
      <c r="A53" t="s">
        <v>138</v>
      </c>
      <c r="B53">
        <v>114</v>
      </c>
    </row>
    <row r="54" spans="1:2">
      <c r="A54" s="11" t="s">
        <v>150</v>
      </c>
      <c r="B54" s="11">
        <v>116</v>
      </c>
    </row>
    <row r="55" spans="1:2">
      <c r="A55" t="s">
        <v>156</v>
      </c>
      <c r="B55">
        <v>121.8</v>
      </c>
    </row>
    <row r="56" spans="1:2">
      <c r="A56" s="17" t="s">
        <v>157</v>
      </c>
      <c r="B56" s="17">
        <v>151</v>
      </c>
    </row>
    <row r="57" spans="1:2">
      <c r="A57" s="15" t="s">
        <v>66</v>
      </c>
      <c r="B57" s="15">
        <v>210</v>
      </c>
    </row>
    <row r="58" spans="1:2">
      <c r="A58" s="15" t="s">
        <v>67</v>
      </c>
      <c r="B58" s="15">
        <v>212</v>
      </c>
    </row>
    <row r="59" spans="1:2">
      <c r="A59" t="s">
        <v>68</v>
      </c>
    </row>
    <row r="60" spans="1:2">
      <c r="A60" t="s">
        <v>69</v>
      </c>
    </row>
    <row r="61" spans="1:2">
      <c r="A61" t="s">
        <v>70</v>
      </c>
    </row>
    <row r="62" spans="1:2">
      <c r="A62" t="s">
        <v>71</v>
      </c>
    </row>
    <row r="63" spans="1:2">
      <c r="A63" t="s">
        <v>72</v>
      </c>
    </row>
    <row r="64" spans="1:2">
      <c r="A64" t="s">
        <v>74</v>
      </c>
    </row>
    <row r="65" spans="1:2">
      <c r="A65" t="s">
        <v>77</v>
      </c>
    </row>
    <row r="66" spans="1:2">
      <c r="A66" t="s">
        <v>78</v>
      </c>
    </row>
    <row r="67" spans="1:2">
      <c r="A67" t="s">
        <v>79</v>
      </c>
    </row>
    <row r="68" spans="1:2">
      <c r="A68" t="s">
        <v>81</v>
      </c>
    </row>
    <row r="69" spans="1:2">
      <c r="A69" t="s">
        <v>83</v>
      </c>
    </row>
    <row r="70" spans="1:2">
      <c r="A70" t="s">
        <v>85</v>
      </c>
    </row>
    <row r="71" spans="1:2">
      <c r="A71" t="s">
        <v>89</v>
      </c>
    </row>
    <row r="72" spans="1:2">
      <c r="A72" t="s">
        <v>93</v>
      </c>
    </row>
    <row r="73" spans="1:2">
      <c r="A73" s="17" t="s">
        <v>94</v>
      </c>
      <c r="B73" s="17"/>
    </row>
    <row r="74" spans="1:2">
      <c r="A74" t="s">
        <v>96</v>
      </c>
    </row>
    <row r="75" spans="1:2">
      <c r="A75" t="s">
        <v>99</v>
      </c>
    </row>
    <row r="76" spans="1:2">
      <c r="A76" t="s">
        <v>102</v>
      </c>
    </row>
    <row r="77" spans="1:2">
      <c r="A77" t="s">
        <v>104</v>
      </c>
    </row>
    <row r="78" spans="1:2">
      <c r="A78" s="11" t="s">
        <v>105</v>
      </c>
      <c r="B78" s="11"/>
    </row>
    <row r="79" spans="1:2">
      <c r="A79" t="s">
        <v>107</v>
      </c>
    </row>
    <row r="80" spans="1:2">
      <c r="A80" t="s">
        <v>113</v>
      </c>
    </row>
    <row r="81" spans="1:2">
      <c r="A81" t="s">
        <v>115</v>
      </c>
    </row>
    <row r="82" spans="1:2">
      <c r="A82" t="s">
        <v>116</v>
      </c>
    </row>
    <row r="83" spans="1:2">
      <c r="A83" t="s">
        <v>117</v>
      </c>
    </row>
    <row r="84" spans="1:2">
      <c r="A84" t="s">
        <v>118</v>
      </c>
    </row>
    <row r="85" spans="1:2">
      <c r="A85" t="s">
        <v>119</v>
      </c>
    </row>
    <row r="86" spans="1:2">
      <c r="A86" t="s">
        <v>121</v>
      </c>
    </row>
    <row r="87" spans="1:2">
      <c r="A87" t="s">
        <v>122</v>
      </c>
    </row>
    <row r="88" spans="1:2">
      <c r="A88" s="11" t="s">
        <v>123</v>
      </c>
      <c r="B88" s="11"/>
    </row>
    <row r="89" spans="1:2">
      <c r="A89" t="s">
        <v>124</v>
      </c>
    </row>
    <row r="90" spans="1:2">
      <c r="A90" t="s">
        <v>128</v>
      </c>
    </row>
    <row r="91" spans="1:2">
      <c r="A91" t="s">
        <v>133</v>
      </c>
    </row>
    <row r="92" spans="1:2">
      <c r="A92" t="s">
        <v>134</v>
      </c>
    </row>
    <row r="93" spans="1:2">
      <c r="A93" t="s">
        <v>137</v>
      </c>
    </row>
    <row r="94" spans="1:2">
      <c r="A94" s="11" t="s">
        <v>140</v>
      </c>
      <c r="B94" s="11"/>
    </row>
    <row r="95" spans="1:2">
      <c r="A95" s="17" t="s">
        <v>141</v>
      </c>
      <c r="B95" s="17"/>
    </row>
    <row r="96" spans="1:2">
      <c r="A96" t="s">
        <v>146</v>
      </c>
    </row>
    <row r="97" spans="1:2">
      <c r="A97" t="s">
        <v>147</v>
      </c>
    </row>
    <row r="98" spans="1:2">
      <c r="A98" t="s">
        <v>149</v>
      </c>
    </row>
    <row r="99" spans="1:2">
      <c r="A99" t="s">
        <v>151</v>
      </c>
    </row>
    <row r="100" spans="1:2">
      <c r="A100" t="s">
        <v>152</v>
      </c>
    </row>
    <row r="101" spans="1:2">
      <c r="A101" t="s">
        <v>154</v>
      </c>
    </row>
    <row r="102" spans="1:2">
      <c r="A102" t="s">
        <v>155</v>
      </c>
    </row>
    <row r="103" spans="1:2">
      <c r="A103" s="17" t="s">
        <v>158</v>
      </c>
      <c r="B103" s="17"/>
    </row>
    <row r="104" spans="1:2">
      <c r="A104" t="s">
        <v>159</v>
      </c>
    </row>
    <row r="105" spans="1:2">
      <c r="A105" t="s">
        <v>160</v>
      </c>
    </row>
    <row r="106" spans="1:2">
      <c r="A106" s="11" t="s">
        <v>161</v>
      </c>
      <c r="B106" s="11"/>
    </row>
    <row r="107" spans="1:2">
      <c r="A107" s="11" t="s">
        <v>162</v>
      </c>
      <c r="B107" s="11"/>
    </row>
    <row r="108" spans="1:2">
      <c r="A108" s="11" t="s">
        <v>163</v>
      </c>
      <c r="B108" s="11"/>
    </row>
    <row r="109" spans="1:2">
      <c r="A109" t="s">
        <v>164</v>
      </c>
    </row>
    <row r="110" spans="1:2">
      <c r="A110" t="s">
        <v>166</v>
      </c>
    </row>
    <row r="111" spans="1:2">
      <c r="A111" t="s">
        <v>167</v>
      </c>
    </row>
    <row r="112" spans="1:2">
      <c r="A112" t="s">
        <v>168</v>
      </c>
    </row>
    <row r="113" spans="1:1">
      <c r="A113" t="s">
        <v>169</v>
      </c>
    </row>
    <row r="114" spans="1:1">
      <c r="A114" t="s">
        <v>172</v>
      </c>
    </row>
    <row r="115" spans="1:1">
      <c r="A115" t="s">
        <v>174</v>
      </c>
    </row>
    <row r="116" spans="1:1">
      <c r="A116" t="s">
        <v>177</v>
      </c>
    </row>
    <row r="117" spans="1:1">
      <c r="A117" t="s">
        <v>178</v>
      </c>
    </row>
    <row r="118" spans="1:1">
      <c r="A118" t="s">
        <v>179</v>
      </c>
    </row>
  </sheetData>
  <autoFilter ref="A1:B118" xr:uid="{1F1E0D41-32BD-894B-9D38-1736EF9E1313}">
    <sortState xmlns:xlrd2="http://schemas.microsoft.com/office/spreadsheetml/2017/richdata2" ref="A2:B118">
      <sortCondition ref="B1:B118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48E0-4D23-664B-A022-345F59D7E4E4}">
  <dimension ref="A1:C118"/>
  <sheetViews>
    <sheetView topLeftCell="A8" workbookViewId="0">
      <selection activeCell="A33" sqref="A33:B33"/>
    </sheetView>
  </sheetViews>
  <sheetFormatPr baseColWidth="10" defaultRowHeight="15"/>
  <sheetData>
    <row r="1" spans="1:2">
      <c r="A1" s="1" t="s">
        <v>0</v>
      </c>
      <c r="B1" s="1">
        <v>2023</v>
      </c>
    </row>
    <row r="2" spans="1:2">
      <c r="A2" t="s">
        <v>104</v>
      </c>
      <c r="B2">
        <v>2.34</v>
      </c>
    </row>
    <row r="3" spans="1:2">
      <c r="A3" s="17" t="s">
        <v>94</v>
      </c>
      <c r="B3" s="17">
        <v>3.15</v>
      </c>
    </row>
    <row r="4" spans="1:2">
      <c r="A4" s="17" t="s">
        <v>135</v>
      </c>
      <c r="B4" s="17">
        <v>3.3</v>
      </c>
    </row>
    <row r="5" spans="1:2">
      <c r="A5" s="16" t="s">
        <v>93</v>
      </c>
      <c r="B5" s="16">
        <v>6.74</v>
      </c>
    </row>
    <row r="6" spans="1:2">
      <c r="A6" s="16" t="s">
        <v>91</v>
      </c>
      <c r="B6" s="16">
        <v>7.2</v>
      </c>
    </row>
    <row r="7" spans="1:2">
      <c r="A7" t="s">
        <v>101</v>
      </c>
      <c r="B7">
        <v>7.31</v>
      </c>
    </row>
    <row r="8" spans="1:2">
      <c r="A8" t="s">
        <v>106</v>
      </c>
      <c r="B8">
        <v>7.53</v>
      </c>
    </row>
    <row r="9" spans="1:2">
      <c r="A9" t="s">
        <v>92</v>
      </c>
      <c r="B9">
        <v>7.82</v>
      </c>
    </row>
    <row r="10" spans="1:2">
      <c r="A10" t="s">
        <v>149</v>
      </c>
      <c r="B10">
        <v>10</v>
      </c>
    </row>
    <row r="11" spans="1:2">
      <c r="A11" t="s">
        <v>133</v>
      </c>
      <c r="B11">
        <v>10.42</v>
      </c>
    </row>
    <row r="12" spans="1:2">
      <c r="A12" t="s">
        <v>82</v>
      </c>
      <c r="B12">
        <v>10.87</v>
      </c>
    </row>
    <row r="13" spans="1:2">
      <c r="A13" t="s">
        <v>99</v>
      </c>
      <c r="B13">
        <v>11.41</v>
      </c>
    </row>
    <row r="14" spans="1:2">
      <c r="A14" t="s">
        <v>146</v>
      </c>
      <c r="B14">
        <v>12</v>
      </c>
    </row>
    <row r="15" spans="1:2">
      <c r="A15" t="s">
        <v>96</v>
      </c>
      <c r="B15">
        <v>12.73</v>
      </c>
    </row>
    <row r="16" spans="1:2">
      <c r="A16" t="s">
        <v>98</v>
      </c>
      <c r="B16">
        <v>13.85</v>
      </c>
    </row>
    <row r="17" spans="1:2">
      <c r="A17" t="s">
        <v>126</v>
      </c>
      <c r="B17">
        <v>14.25</v>
      </c>
    </row>
    <row r="18" spans="1:2">
      <c r="A18" t="s">
        <v>102</v>
      </c>
      <c r="B18">
        <v>16.690000000000001</v>
      </c>
    </row>
    <row r="19" spans="1:2">
      <c r="A19" t="s">
        <v>144</v>
      </c>
      <c r="B19">
        <v>18.7</v>
      </c>
    </row>
    <row r="20" spans="1:2">
      <c r="A20" t="s">
        <v>80</v>
      </c>
      <c r="B20">
        <v>19.3</v>
      </c>
    </row>
    <row r="21" spans="1:2">
      <c r="A21" t="s">
        <v>78</v>
      </c>
      <c r="B21">
        <v>20.010000000000002</v>
      </c>
    </row>
    <row r="22" spans="1:2">
      <c r="A22" t="s">
        <v>86</v>
      </c>
      <c r="B22">
        <v>20.71</v>
      </c>
    </row>
    <row r="23" spans="1:2">
      <c r="A23" t="s">
        <v>172</v>
      </c>
      <c r="B23">
        <v>21.01</v>
      </c>
    </row>
    <row r="24" spans="1:2">
      <c r="A24" t="s">
        <v>81</v>
      </c>
      <c r="B24">
        <v>21.8</v>
      </c>
    </row>
    <row r="25" spans="1:2">
      <c r="A25" t="s">
        <v>159</v>
      </c>
      <c r="B25">
        <v>22.3</v>
      </c>
    </row>
    <row r="26" spans="1:2">
      <c r="A26" t="s">
        <v>125</v>
      </c>
      <c r="B26">
        <v>23.48</v>
      </c>
    </row>
    <row r="27" spans="1:2">
      <c r="A27" t="s">
        <v>97</v>
      </c>
      <c r="B27">
        <v>24.11</v>
      </c>
    </row>
    <row r="28" spans="1:2">
      <c r="A28" t="s">
        <v>113</v>
      </c>
      <c r="B28">
        <v>25.4</v>
      </c>
    </row>
    <row r="29" spans="1:2">
      <c r="A29" t="s">
        <v>131</v>
      </c>
      <c r="B29">
        <v>26.8</v>
      </c>
    </row>
    <row r="30" spans="1:2">
      <c r="A30" t="s">
        <v>145</v>
      </c>
      <c r="B30">
        <v>27.17</v>
      </c>
    </row>
    <row r="31" spans="1:2">
      <c r="A31" t="s">
        <v>100</v>
      </c>
      <c r="B31">
        <v>27.5</v>
      </c>
    </row>
    <row r="32" spans="1:2">
      <c r="A32" t="s">
        <v>87</v>
      </c>
      <c r="B32">
        <v>29.2</v>
      </c>
    </row>
    <row r="33" spans="1:3">
      <c r="A33" t="s">
        <v>171</v>
      </c>
      <c r="B33">
        <v>30.1</v>
      </c>
      <c r="C33" t="s">
        <v>624</v>
      </c>
    </row>
    <row r="34" spans="1:3">
      <c r="A34" t="s">
        <v>167</v>
      </c>
      <c r="B34">
        <v>33</v>
      </c>
    </row>
    <row r="35" spans="1:3">
      <c r="A35" t="s">
        <v>165</v>
      </c>
      <c r="B35">
        <v>33.94</v>
      </c>
    </row>
    <row r="36" spans="1:3">
      <c r="A36" t="s">
        <v>114</v>
      </c>
      <c r="B36">
        <v>34.130000000000003</v>
      </c>
    </row>
    <row r="37" spans="1:3">
      <c r="A37" t="s">
        <v>90</v>
      </c>
      <c r="B37">
        <v>34.700000000000003</v>
      </c>
    </row>
    <row r="38" spans="1:3">
      <c r="A38" t="s">
        <v>110</v>
      </c>
      <c r="B38">
        <v>36.26</v>
      </c>
    </row>
    <row r="39" spans="1:3">
      <c r="A39" t="s">
        <v>155</v>
      </c>
      <c r="B39">
        <v>38.5</v>
      </c>
    </row>
    <row r="40" spans="1:3">
      <c r="A40" t="s">
        <v>175</v>
      </c>
      <c r="B40">
        <v>40.98</v>
      </c>
    </row>
    <row r="41" spans="1:3">
      <c r="A41" t="s">
        <v>132</v>
      </c>
      <c r="B41">
        <v>42.45</v>
      </c>
    </row>
    <row r="42" spans="1:3">
      <c r="A42" t="s">
        <v>136</v>
      </c>
      <c r="B42">
        <v>44.7</v>
      </c>
    </row>
    <row r="43" spans="1:3">
      <c r="A43" t="s">
        <v>148</v>
      </c>
      <c r="B43">
        <v>44.86</v>
      </c>
    </row>
    <row r="44" spans="1:3">
      <c r="A44" t="s">
        <v>142</v>
      </c>
      <c r="B44">
        <v>48</v>
      </c>
    </row>
    <row r="45" spans="1:3">
      <c r="A45" t="s">
        <v>177</v>
      </c>
      <c r="B45">
        <v>48.5</v>
      </c>
    </row>
    <row r="46" spans="1:3">
      <c r="A46" t="s">
        <v>169</v>
      </c>
      <c r="B46">
        <v>50.68</v>
      </c>
    </row>
    <row r="47" spans="1:3">
      <c r="A47" t="s">
        <v>75</v>
      </c>
      <c r="B47">
        <v>52.41</v>
      </c>
    </row>
    <row r="48" spans="1:3">
      <c r="A48" t="s">
        <v>119</v>
      </c>
      <c r="B48">
        <v>52.65</v>
      </c>
    </row>
    <row r="49" spans="1:2">
      <c r="A49" t="s">
        <v>76</v>
      </c>
      <c r="B49">
        <v>59.63</v>
      </c>
    </row>
    <row r="50" spans="1:2">
      <c r="A50" t="s">
        <v>107</v>
      </c>
      <c r="B50">
        <v>60</v>
      </c>
    </row>
    <row r="51" spans="1:2">
      <c r="A51" t="s">
        <v>118</v>
      </c>
      <c r="B51">
        <v>60.9</v>
      </c>
    </row>
    <row r="52" spans="1:2">
      <c r="A52" t="s">
        <v>84</v>
      </c>
      <c r="B52">
        <v>62</v>
      </c>
    </row>
    <row r="53" spans="1:2">
      <c r="A53" t="s">
        <v>62</v>
      </c>
      <c r="B53">
        <v>62.19</v>
      </c>
    </row>
    <row r="54" spans="1:2">
      <c r="A54" t="s">
        <v>68</v>
      </c>
      <c r="B54">
        <v>63.78</v>
      </c>
    </row>
    <row r="55" spans="1:2">
      <c r="A55" t="s">
        <v>85</v>
      </c>
      <c r="B55">
        <v>65.91</v>
      </c>
    </row>
    <row r="56" spans="1:2">
      <c r="A56" t="s">
        <v>72</v>
      </c>
      <c r="B56">
        <v>76.510000000000005</v>
      </c>
    </row>
    <row r="57" spans="1:2">
      <c r="A57" t="s">
        <v>156</v>
      </c>
      <c r="B57">
        <v>77.510000000000005</v>
      </c>
    </row>
    <row r="58" spans="1:2">
      <c r="A58" t="s">
        <v>71</v>
      </c>
      <c r="B58">
        <v>77.709999999999994</v>
      </c>
    </row>
    <row r="59" spans="1:2">
      <c r="A59" t="s">
        <v>108</v>
      </c>
      <c r="B59">
        <v>79.8</v>
      </c>
    </row>
    <row r="60" spans="1:2">
      <c r="A60" t="s">
        <v>168</v>
      </c>
      <c r="B60">
        <v>86.43</v>
      </c>
    </row>
    <row r="61" spans="1:2">
      <c r="A61" s="11" t="s">
        <v>140</v>
      </c>
      <c r="B61" s="11">
        <v>110</v>
      </c>
    </row>
    <row r="62" spans="1:2">
      <c r="A62" s="11" t="s">
        <v>123</v>
      </c>
      <c r="B62" s="11">
        <v>112.6</v>
      </c>
    </row>
    <row r="63" spans="1:2">
      <c r="A63" s="11" t="s">
        <v>162</v>
      </c>
      <c r="B63" s="11">
        <v>124.8</v>
      </c>
    </row>
    <row r="64" spans="1:2">
      <c r="A64" s="11" t="s">
        <v>161</v>
      </c>
      <c r="B64" s="11">
        <v>163.5</v>
      </c>
    </row>
    <row r="65" spans="1:2">
      <c r="A65" t="s">
        <v>64</v>
      </c>
    </row>
    <row r="66" spans="1:2">
      <c r="A66" t="s">
        <v>65</v>
      </c>
    </row>
    <row r="67" spans="1:2">
      <c r="A67" s="15" t="s">
        <v>66</v>
      </c>
      <c r="B67" s="15"/>
    </row>
    <row r="68" spans="1:2">
      <c r="A68" s="15" t="s">
        <v>67</v>
      </c>
      <c r="B68" s="15"/>
    </row>
    <row r="69" spans="1:2">
      <c r="A69" t="s">
        <v>69</v>
      </c>
    </row>
    <row r="70" spans="1:2">
      <c r="A70" t="s">
        <v>70</v>
      </c>
    </row>
    <row r="71" spans="1:2">
      <c r="A71" t="s">
        <v>73</v>
      </c>
    </row>
    <row r="72" spans="1:2">
      <c r="A72" t="s">
        <v>74</v>
      </c>
    </row>
    <row r="73" spans="1:2">
      <c r="A73" t="s">
        <v>77</v>
      </c>
    </row>
    <row r="74" spans="1:2">
      <c r="A74" t="s">
        <v>79</v>
      </c>
    </row>
    <row r="75" spans="1:2">
      <c r="A75" t="s">
        <v>83</v>
      </c>
    </row>
    <row r="76" spans="1:2">
      <c r="A76" t="s">
        <v>88</v>
      </c>
    </row>
    <row r="77" spans="1:2">
      <c r="A77" t="s">
        <v>89</v>
      </c>
    </row>
    <row r="78" spans="1:2">
      <c r="A78" t="s">
        <v>95</v>
      </c>
    </row>
    <row r="79" spans="1:2">
      <c r="A79" t="s">
        <v>103</v>
      </c>
    </row>
    <row r="80" spans="1:2">
      <c r="A80" s="11" t="s">
        <v>105</v>
      </c>
      <c r="B80" s="11"/>
    </row>
    <row r="81" spans="1:2">
      <c r="A81" t="s">
        <v>109</v>
      </c>
    </row>
    <row r="82" spans="1:2">
      <c r="A82" t="s">
        <v>111</v>
      </c>
    </row>
    <row r="83" spans="1:2">
      <c r="A83" t="s">
        <v>112</v>
      </c>
    </row>
    <row r="84" spans="1:2">
      <c r="A84" t="s">
        <v>115</v>
      </c>
    </row>
    <row r="85" spans="1:2">
      <c r="A85" t="s">
        <v>116</v>
      </c>
    </row>
    <row r="86" spans="1:2">
      <c r="A86" t="s">
        <v>117</v>
      </c>
    </row>
    <row r="87" spans="1:2">
      <c r="A87" t="s">
        <v>120</v>
      </c>
    </row>
    <row r="88" spans="1:2">
      <c r="A88" t="s">
        <v>121</v>
      </c>
    </row>
    <row r="89" spans="1:2">
      <c r="A89" t="s">
        <v>122</v>
      </c>
    </row>
    <row r="90" spans="1:2">
      <c r="A90" t="s">
        <v>124</v>
      </c>
    </row>
    <row r="91" spans="1:2">
      <c r="A91" t="s">
        <v>127</v>
      </c>
    </row>
    <row r="92" spans="1:2">
      <c r="A92" t="s">
        <v>128</v>
      </c>
    </row>
    <row r="93" spans="1:2">
      <c r="A93" t="s">
        <v>129</v>
      </c>
    </row>
    <row r="94" spans="1:2">
      <c r="A94" s="17" t="s">
        <v>130</v>
      </c>
      <c r="B94" s="17"/>
    </row>
    <row r="95" spans="1:2">
      <c r="A95" t="s">
        <v>134</v>
      </c>
    </row>
    <row r="96" spans="1:2">
      <c r="A96" t="s">
        <v>137</v>
      </c>
    </row>
    <row r="97" spans="1:2">
      <c r="A97" t="s">
        <v>138</v>
      </c>
    </row>
    <row r="98" spans="1:2">
      <c r="A98" t="s">
        <v>139</v>
      </c>
    </row>
    <row r="99" spans="1:2">
      <c r="A99" s="17" t="s">
        <v>141</v>
      </c>
      <c r="B99" s="17"/>
    </row>
    <row r="100" spans="1:2">
      <c r="A100" t="s">
        <v>143</v>
      </c>
    </row>
    <row r="101" spans="1:2">
      <c r="A101" t="s">
        <v>147</v>
      </c>
    </row>
    <row r="102" spans="1:2">
      <c r="A102" s="11" t="s">
        <v>150</v>
      </c>
      <c r="B102" s="11"/>
    </row>
    <row r="103" spans="1:2">
      <c r="A103" t="s">
        <v>151</v>
      </c>
    </row>
    <row r="104" spans="1:2">
      <c r="A104" t="s">
        <v>152</v>
      </c>
    </row>
    <row r="105" spans="1:2">
      <c r="A105" t="s">
        <v>153</v>
      </c>
    </row>
    <row r="106" spans="1:2">
      <c r="A106" t="s">
        <v>154</v>
      </c>
    </row>
    <row r="107" spans="1:2">
      <c r="A107" s="17" t="s">
        <v>157</v>
      </c>
      <c r="B107" s="17"/>
    </row>
    <row r="108" spans="1:2">
      <c r="A108" s="17" t="s">
        <v>158</v>
      </c>
      <c r="B108" s="17"/>
    </row>
    <row r="109" spans="1:2">
      <c r="A109" t="s">
        <v>160</v>
      </c>
    </row>
    <row r="110" spans="1:2">
      <c r="A110" s="11" t="s">
        <v>163</v>
      </c>
      <c r="B110" s="11"/>
    </row>
    <row r="111" spans="1:2">
      <c r="A111" t="s">
        <v>164</v>
      </c>
    </row>
    <row r="112" spans="1:2">
      <c r="A112" t="s">
        <v>166</v>
      </c>
    </row>
    <row r="113" spans="1:1">
      <c r="A113" t="s">
        <v>170</v>
      </c>
    </row>
    <row r="114" spans="1:1">
      <c r="A114" t="s">
        <v>173</v>
      </c>
    </row>
    <row r="115" spans="1:1">
      <c r="A115" t="s">
        <v>174</v>
      </c>
    </row>
    <row r="116" spans="1:1">
      <c r="A116" t="s">
        <v>176</v>
      </c>
    </row>
    <row r="117" spans="1:1">
      <c r="A117" t="s">
        <v>178</v>
      </c>
    </row>
    <row r="118" spans="1:1">
      <c r="A118" t="s">
        <v>179</v>
      </c>
    </row>
  </sheetData>
  <autoFilter ref="A1:B118" xr:uid="{BB5B48E0-4D23-664B-A022-345F59D7E4E4}">
    <sortState xmlns:xlrd2="http://schemas.microsoft.com/office/spreadsheetml/2017/richdata2" ref="A2:B118">
      <sortCondition ref="B1:B1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med. piezo. puebla</vt:lpstr>
      <vt:lpstr>datos grace puebla</vt:lpstr>
      <vt:lpstr>prueba grace y pozos</vt:lpstr>
      <vt:lpstr>mediana promedios</vt:lpstr>
      <vt:lpstr>aaaaaa</vt:lpstr>
      <vt:lpstr>mediana 1996</vt:lpstr>
      <vt:lpstr>mediana 1997</vt:lpstr>
      <vt:lpstr>mediana 2000</vt:lpstr>
      <vt:lpstr>mediana 2002</vt:lpstr>
      <vt:lpstr>mediana 2008</vt:lpstr>
      <vt:lpstr>mediana 2013</vt:lpstr>
      <vt:lpstr>mediana 2022</vt:lpstr>
      <vt:lpstr>mediana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Vázquez</cp:lastModifiedBy>
  <dcterms:created xsi:type="dcterms:W3CDTF">2026-08-16T03:58:36Z</dcterms:created>
  <dcterms:modified xsi:type="dcterms:W3CDTF">2026-08-19T23:53:59Z</dcterms:modified>
</cp:coreProperties>
</file>